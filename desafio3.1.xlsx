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timelines/timeline1.xml" ContentType="application/vnd.ms-excel.timelin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3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slicers/slicer3.xml" ContentType="application/vnd.ms-excel.slicer+xml"/>
  <Override PartName="/xl/timelines/timeline2.xml" ContentType="application/vnd.ms-excel.timelin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Ex4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/>
  <mc:AlternateContent xmlns:mc="http://schemas.openxmlformats.org/markup-compatibility/2006">
    <mc:Choice Requires="x15">
      <x15ac:absPath xmlns:x15ac="http://schemas.microsoft.com/office/spreadsheetml/2010/11/ac" url="/Users/laizalopes/Documents/DIO/"/>
    </mc:Choice>
  </mc:AlternateContent>
  <xr:revisionPtr revIDLastSave="0" documentId="13_ncr:1_{95B4EB32-A952-E548-A04B-71F756790A41}" xr6:coauthVersionLast="47" xr6:coauthVersionMax="47" xr10:uidLastSave="{00000000-0000-0000-0000-000000000000}"/>
  <bookViews>
    <workbookView xWindow="-180" yWindow="620" windowWidth="44800" windowHeight="22680" activeTab="3" xr2:uid="{28DD5B76-0634-4F87-BE60-8BFA7EF2E23B}"/>
  </bookViews>
  <sheets>
    <sheet name="A̳ssets" sheetId="1" state="hidden" r:id="rId1"/>
    <sheet name="B̳ases " sheetId="10" state="hidden" r:id="rId2"/>
    <sheet name="C̳álculos" sheetId="3" state="hidden" r:id="rId3"/>
    <sheet name="D̳ashboard_product" sheetId="9" r:id="rId4"/>
    <sheet name="D̳ashboard" sheetId="6" r:id="rId5"/>
  </sheets>
  <definedNames>
    <definedName name="_xlchart.v1.0" hidden="1">C̳álculos!$B$51:$C$59</definedName>
    <definedName name="_xlchart.v1.1" hidden="1">C̳álculos!$D$51:$D$59</definedName>
    <definedName name="_xlchart.v1.10" hidden="1">C̳álculos!$M$29:$M$33</definedName>
    <definedName name="_xlchart.v1.11" hidden="1">C̳álculos!$B$51:$C$59</definedName>
    <definedName name="_xlchart.v1.12" hidden="1">C̳álculos!$D$51:$D$59</definedName>
    <definedName name="_xlchart.v1.13" hidden="1">C̳álculos!$B$51:$C$59</definedName>
    <definedName name="_xlchart.v1.14" hidden="1">C̳álculos!$D$51:$D$59</definedName>
    <definedName name="_xlchart.v1.15" hidden="1">C̳álculos!$B$51:$C$59</definedName>
    <definedName name="_xlchart.v1.16" hidden="1">C̳álculos!$D$51:$D$59</definedName>
    <definedName name="_xlchart.v1.17" hidden="1">C̳álculos!$B$51:$C$59</definedName>
    <definedName name="_xlchart.v1.18" hidden="1">C̳álculos!$D$51:$D$59</definedName>
    <definedName name="_xlchart.v1.19" hidden="1">C̳álculos!$K$71:$K$72</definedName>
    <definedName name="_xlchart.v1.2" hidden="1">C̳álculos!$B$51:$C$59</definedName>
    <definedName name="_xlchart.v1.20" hidden="1">C̳álculos!$L$70</definedName>
    <definedName name="_xlchart.v1.21" hidden="1">C̳álculos!$L$71:$L$72</definedName>
    <definedName name="_xlchart.v1.22" hidden="1">C̳álculos!$M$70</definedName>
    <definedName name="_xlchart.v1.23" hidden="1">C̳álculos!$M$71:$M$72</definedName>
    <definedName name="_xlchart.v1.24" hidden="1">C̳álculos!$N$70</definedName>
    <definedName name="_xlchart.v1.25" hidden="1">C̳álculos!$N$71:$N$72</definedName>
    <definedName name="_xlchart.v1.26" hidden="1">C̳álculos!$O$70</definedName>
    <definedName name="_xlchart.v1.27" hidden="1">C̳álculos!$O$71:$O$72</definedName>
    <definedName name="_xlchart.v1.28" hidden="1">C̳álculos!$B$51:$C$59</definedName>
    <definedName name="_xlchart.v1.29" hidden="1">C̳álculos!$D$51:$D$59</definedName>
    <definedName name="_xlchart.v1.3" hidden="1">C̳álculos!$D$51:$D$59</definedName>
    <definedName name="_xlchart.v1.30" hidden="1">C̳álculos!$K$71:$K$72</definedName>
    <definedName name="_xlchart.v1.31" hidden="1">C̳álculos!$L$70</definedName>
    <definedName name="_xlchart.v1.32" hidden="1">C̳álculos!$L$71:$L$72</definedName>
    <definedName name="_xlchart.v1.33" hidden="1">C̳álculos!$M$70</definedName>
    <definedName name="_xlchart.v1.34" hidden="1">C̳álculos!$M$71:$M$72</definedName>
    <definedName name="_xlchart.v1.35" hidden="1">C̳álculos!$N$70</definedName>
    <definedName name="_xlchart.v1.36" hidden="1">C̳álculos!$N$71:$N$72</definedName>
    <definedName name="_xlchart.v1.37" hidden="1">C̳álculos!$O$70</definedName>
    <definedName name="_xlchart.v1.38" hidden="1">C̳álculos!$O$71:$O$72</definedName>
    <definedName name="_xlchart.v1.39" hidden="1">C̳álculos!$B$51:$C$59</definedName>
    <definedName name="_xlchart.v1.4" hidden="1">C̳álculos!$B$51:$C$59</definedName>
    <definedName name="_xlchart.v1.40" hidden="1">C̳álculos!$D$51:$D$59</definedName>
    <definedName name="_xlchart.v1.41" hidden="1">C̳álculos!$K$71:$K$72</definedName>
    <definedName name="_xlchart.v1.42" hidden="1">C̳álculos!$L$70</definedName>
    <definedName name="_xlchart.v1.43" hidden="1">C̳álculos!$L$71:$L$72</definedName>
    <definedName name="_xlchart.v1.44" hidden="1">C̳álculos!$M$70</definedName>
    <definedName name="_xlchart.v1.45" hidden="1">C̳álculos!$M$71:$M$72</definedName>
    <definedName name="_xlchart.v1.46" hidden="1">C̳álculos!$N$70</definedName>
    <definedName name="_xlchart.v1.47" hidden="1">C̳álculos!$N$71:$N$72</definedName>
    <definedName name="_xlchart.v1.48" hidden="1">C̳álculos!$O$70</definedName>
    <definedName name="_xlchart.v1.49" hidden="1">C̳álculos!$O$71:$O$72</definedName>
    <definedName name="_xlchart.v1.5" hidden="1">C̳álculos!$D$51:$D$59</definedName>
    <definedName name="_xlchart.v1.50" hidden="1">C̳álculos!$L$29:$L$33</definedName>
    <definedName name="_xlchart.v1.51" hidden="1">C̳álculos!$M$28</definedName>
    <definedName name="_xlchart.v1.52" hidden="1">C̳álculos!$M$29:$M$33</definedName>
    <definedName name="_xlchart.v1.6" hidden="1">C̳álculos!$B$51:$C$59</definedName>
    <definedName name="_xlchart.v1.7" hidden="1">C̳álculos!$D$51:$D$59</definedName>
    <definedName name="_xlchart.v1.8" hidden="1">C̳álculos!$L$29:$L$33</definedName>
    <definedName name="_xlchart.v1.9" hidden="1">C̳álculos!$M$28</definedName>
    <definedName name="average_discount">C̳álculos!$M$48</definedName>
    <definedName name="average_ticket">C̳álculos!$N$42</definedName>
    <definedName name="average_ticket_core">C̳álculos!$N$39</definedName>
    <definedName name="average_ticket_standard">C̳álculos!$N$40</definedName>
    <definedName name="average_ticket_ultimate">C̳álculos!$N$41</definedName>
    <definedName name="discount_rate">C̳álculos!$M$47</definedName>
    <definedName name="eagame_rate_sales">C̳álculos!$F$34</definedName>
    <definedName name="eagame_revenue">C̳álculos!$F$33</definedName>
    <definedName name="minecraft_rate_sales">C̳álculos!$F$25</definedName>
    <definedName name="minecraft_revenue">C̳álculos!$F$33</definedName>
    <definedName name="NativeTimeline_Start_Date">#N/A</definedName>
    <definedName name="rate_renewal">C̳álculos!$L$66</definedName>
    <definedName name="renewal_rate">C̳álculos!$L$66</definedName>
    <definedName name="SegmentaçãodeDados_EA_Play_Season_Pass">#N/A</definedName>
    <definedName name="SegmentaçãodeDados_Minecraft_Season_Pass">#N/A</definedName>
    <definedName name="SegmentaçãodeDados_Plan">#N/A</definedName>
    <definedName name="SegmentaçãodeDados_Subscription_Type1">#N/A</definedName>
    <definedName name="total_revenue">C̳álculos!$L$23</definedName>
  </definedNames>
  <calcPr calcId="191029"/>
  <pivotCaches>
    <pivotCache cacheId="20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7" i="10" l="1"/>
  <c r="O297" i="10"/>
  <c r="P297" i="10"/>
  <c r="Q297" i="10"/>
  <c r="R297" i="10"/>
  <c r="T297" i="10" s="1"/>
  <c r="U297" i="10" s="1"/>
  <c r="S297" i="10"/>
  <c r="Y7" i="1"/>
  <c r="Y8" i="1"/>
  <c r="Y9" i="1"/>
  <c r="Y10" i="1"/>
  <c r="Y11" i="1"/>
  <c r="Y12" i="1"/>
  <c r="Y13" i="1"/>
  <c r="Y14" i="1"/>
  <c r="Y15" i="1"/>
  <c r="P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P48" i="10"/>
  <c r="P49" i="10"/>
  <c r="P50" i="10"/>
  <c r="P51" i="10"/>
  <c r="P52" i="10"/>
  <c r="P53" i="10"/>
  <c r="P54" i="10"/>
  <c r="P55" i="10"/>
  <c r="P56" i="10"/>
  <c r="P57" i="10"/>
  <c r="P58" i="10"/>
  <c r="P59" i="10"/>
  <c r="P60" i="10"/>
  <c r="P61" i="10"/>
  <c r="P62" i="10"/>
  <c r="P63" i="10"/>
  <c r="P64" i="10"/>
  <c r="P65" i="10"/>
  <c r="P66" i="10"/>
  <c r="P67" i="10"/>
  <c r="P68" i="10"/>
  <c r="P69" i="10"/>
  <c r="P70" i="10"/>
  <c r="P71" i="10"/>
  <c r="P72" i="10"/>
  <c r="P73" i="10"/>
  <c r="P74" i="10"/>
  <c r="P75" i="10"/>
  <c r="P76" i="10"/>
  <c r="P77" i="10"/>
  <c r="P78" i="10"/>
  <c r="P79" i="10"/>
  <c r="P80" i="10"/>
  <c r="P81" i="10"/>
  <c r="P82" i="10"/>
  <c r="P83" i="10"/>
  <c r="P84" i="10"/>
  <c r="P85" i="10"/>
  <c r="P86" i="10"/>
  <c r="P87" i="10"/>
  <c r="P88" i="10"/>
  <c r="P89" i="10"/>
  <c r="P90" i="10"/>
  <c r="P91" i="10"/>
  <c r="P92" i="10"/>
  <c r="P93" i="10"/>
  <c r="P94" i="10"/>
  <c r="P95" i="10"/>
  <c r="P96" i="10"/>
  <c r="P97" i="10"/>
  <c r="P98" i="10"/>
  <c r="P99" i="10"/>
  <c r="P100" i="10"/>
  <c r="P101" i="10"/>
  <c r="P102" i="10"/>
  <c r="P103" i="10"/>
  <c r="P104" i="10"/>
  <c r="P105" i="10"/>
  <c r="P106" i="10"/>
  <c r="P107" i="10"/>
  <c r="P108" i="10"/>
  <c r="P109" i="10"/>
  <c r="P110" i="10"/>
  <c r="P111" i="10"/>
  <c r="P112" i="10"/>
  <c r="P113" i="10"/>
  <c r="P114" i="10"/>
  <c r="P115" i="10"/>
  <c r="P116" i="10"/>
  <c r="P117" i="10"/>
  <c r="P118" i="10"/>
  <c r="P119" i="10"/>
  <c r="P120" i="10"/>
  <c r="P121" i="10"/>
  <c r="P122" i="10"/>
  <c r="P123" i="10"/>
  <c r="P124" i="10"/>
  <c r="P125" i="10"/>
  <c r="P126" i="10"/>
  <c r="P127" i="10"/>
  <c r="P128" i="10"/>
  <c r="P129" i="10"/>
  <c r="P130" i="10"/>
  <c r="P131" i="10"/>
  <c r="P132" i="10"/>
  <c r="P133" i="10"/>
  <c r="P134" i="10"/>
  <c r="P135" i="10"/>
  <c r="P136" i="10"/>
  <c r="P137" i="10"/>
  <c r="P138" i="10"/>
  <c r="P139" i="10"/>
  <c r="P140" i="10"/>
  <c r="P141" i="10"/>
  <c r="P142" i="10"/>
  <c r="P143" i="10"/>
  <c r="P144" i="10"/>
  <c r="P145" i="10"/>
  <c r="P146" i="10"/>
  <c r="P147" i="10"/>
  <c r="P148" i="10"/>
  <c r="P149" i="10"/>
  <c r="P150" i="10"/>
  <c r="P151" i="10"/>
  <c r="P152" i="10"/>
  <c r="P153" i="10"/>
  <c r="P154" i="10"/>
  <c r="P155" i="10"/>
  <c r="P156" i="10"/>
  <c r="P157" i="10"/>
  <c r="P158" i="10"/>
  <c r="P159" i="10"/>
  <c r="P160" i="10"/>
  <c r="P161" i="10"/>
  <c r="P162" i="10"/>
  <c r="P163" i="10"/>
  <c r="P164" i="10"/>
  <c r="P165" i="10"/>
  <c r="P166" i="10"/>
  <c r="P167" i="10"/>
  <c r="P168" i="10"/>
  <c r="P169" i="10"/>
  <c r="P170" i="10"/>
  <c r="P171" i="10"/>
  <c r="P172" i="10"/>
  <c r="P173" i="10"/>
  <c r="P174" i="10"/>
  <c r="P175" i="10"/>
  <c r="P176" i="10"/>
  <c r="P177" i="10"/>
  <c r="P178" i="10"/>
  <c r="P179" i="10"/>
  <c r="P180" i="10"/>
  <c r="P181" i="10"/>
  <c r="P182" i="10"/>
  <c r="P183" i="10"/>
  <c r="P184" i="10"/>
  <c r="P185" i="10"/>
  <c r="P186" i="10"/>
  <c r="P187" i="10"/>
  <c r="P188" i="10"/>
  <c r="P189" i="10"/>
  <c r="P190" i="10"/>
  <c r="P191" i="10"/>
  <c r="P192" i="10"/>
  <c r="P193" i="10"/>
  <c r="P194" i="10"/>
  <c r="P195" i="10"/>
  <c r="P196" i="10"/>
  <c r="P197" i="10"/>
  <c r="P198" i="10"/>
  <c r="P199" i="10"/>
  <c r="P200" i="10"/>
  <c r="P201" i="10"/>
  <c r="P202" i="10"/>
  <c r="P203" i="10"/>
  <c r="P204" i="10"/>
  <c r="P205" i="10"/>
  <c r="P206" i="10"/>
  <c r="P207" i="10"/>
  <c r="P208" i="10"/>
  <c r="P209" i="10"/>
  <c r="P210" i="10"/>
  <c r="P211" i="10"/>
  <c r="P212" i="10"/>
  <c r="P213" i="10"/>
  <c r="P214" i="10"/>
  <c r="P215" i="10"/>
  <c r="P216" i="10"/>
  <c r="P217" i="10"/>
  <c r="P218" i="10"/>
  <c r="P219" i="10"/>
  <c r="P220" i="10"/>
  <c r="P221" i="10"/>
  <c r="P222" i="10"/>
  <c r="P223" i="10"/>
  <c r="P224" i="10"/>
  <c r="P225" i="10"/>
  <c r="P226" i="10"/>
  <c r="P227" i="10"/>
  <c r="P228" i="10"/>
  <c r="P229" i="10"/>
  <c r="P230" i="10"/>
  <c r="P231" i="10"/>
  <c r="P232" i="10"/>
  <c r="P233" i="10"/>
  <c r="P234" i="10"/>
  <c r="P235" i="10"/>
  <c r="P236" i="10"/>
  <c r="P237" i="10"/>
  <c r="P238" i="10"/>
  <c r="P239" i="10"/>
  <c r="P240" i="10"/>
  <c r="P241" i="10"/>
  <c r="P242" i="10"/>
  <c r="P243" i="10"/>
  <c r="P244" i="10"/>
  <c r="P245" i="10"/>
  <c r="P246" i="10"/>
  <c r="P247" i="10"/>
  <c r="P248" i="10"/>
  <c r="P249" i="10"/>
  <c r="P250" i="10"/>
  <c r="P251" i="10"/>
  <c r="P252" i="10"/>
  <c r="P253" i="10"/>
  <c r="P254" i="10"/>
  <c r="P255" i="10"/>
  <c r="P256" i="10"/>
  <c r="P257" i="10"/>
  <c r="P258" i="10"/>
  <c r="P259" i="10"/>
  <c r="P260" i="10"/>
  <c r="P261" i="10"/>
  <c r="P262" i="10"/>
  <c r="P263" i="10"/>
  <c r="P264" i="10"/>
  <c r="P265" i="10"/>
  <c r="P266" i="10"/>
  <c r="P267" i="10"/>
  <c r="P268" i="10"/>
  <c r="P269" i="10"/>
  <c r="P270" i="10"/>
  <c r="P271" i="10"/>
  <c r="P272" i="10"/>
  <c r="P273" i="10"/>
  <c r="P274" i="10"/>
  <c r="P275" i="10"/>
  <c r="P276" i="10"/>
  <c r="P277" i="10"/>
  <c r="P278" i="10"/>
  <c r="P279" i="10"/>
  <c r="P280" i="10"/>
  <c r="P281" i="10"/>
  <c r="P282" i="10"/>
  <c r="P283" i="10"/>
  <c r="P284" i="10"/>
  <c r="P285" i="10"/>
  <c r="P286" i="10"/>
  <c r="P287" i="10"/>
  <c r="P288" i="10"/>
  <c r="P289" i="10"/>
  <c r="P290" i="10"/>
  <c r="P291" i="10"/>
  <c r="P292" i="10"/>
  <c r="P293" i="10"/>
  <c r="P294" i="10"/>
  <c r="P295" i="10"/>
  <c r="P296" i="10"/>
  <c r="O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S2" i="10"/>
  <c r="S3" i="10"/>
  <c r="S4" i="10"/>
  <c r="S5" i="10"/>
  <c r="S6" i="10"/>
  <c r="S7" i="10"/>
  <c r="S8" i="10"/>
  <c r="S9" i="10"/>
  <c r="S10" i="10"/>
  <c r="S11" i="10"/>
  <c r="S12" i="10"/>
  <c r="S13" i="10"/>
  <c r="S14" i="10"/>
  <c r="S15" i="10"/>
  <c r="S16" i="10"/>
  <c r="S17" i="10"/>
  <c r="S18" i="10"/>
  <c r="S19" i="10"/>
  <c r="S20" i="10"/>
  <c r="S21" i="10"/>
  <c r="S22" i="10"/>
  <c r="S23" i="10"/>
  <c r="S24" i="10"/>
  <c r="S25" i="10"/>
  <c r="S26" i="10"/>
  <c r="S27" i="10"/>
  <c r="S28" i="10"/>
  <c r="S29" i="10"/>
  <c r="S30" i="10"/>
  <c r="S31" i="10"/>
  <c r="S32" i="10"/>
  <c r="S33" i="10"/>
  <c r="S34" i="10"/>
  <c r="S35" i="10"/>
  <c r="S36" i="10"/>
  <c r="S37" i="10"/>
  <c r="S38" i="10"/>
  <c r="S39" i="10"/>
  <c r="S40" i="10"/>
  <c r="S41" i="10"/>
  <c r="S42" i="10"/>
  <c r="S43" i="10"/>
  <c r="S44" i="10"/>
  <c r="S45" i="10"/>
  <c r="S46" i="10"/>
  <c r="S47" i="10"/>
  <c r="S48" i="10"/>
  <c r="S49" i="10"/>
  <c r="S50" i="10"/>
  <c r="S51" i="10"/>
  <c r="S52" i="10"/>
  <c r="S53" i="10"/>
  <c r="S54" i="10"/>
  <c r="S55" i="10"/>
  <c r="S56" i="10"/>
  <c r="S57" i="10"/>
  <c r="S58" i="10"/>
  <c r="S59" i="10"/>
  <c r="S60" i="10"/>
  <c r="S61" i="10"/>
  <c r="S62" i="10"/>
  <c r="S63" i="10"/>
  <c r="S64" i="10"/>
  <c r="S65" i="10"/>
  <c r="S66" i="10"/>
  <c r="S67" i="10"/>
  <c r="S68" i="10"/>
  <c r="S69" i="10"/>
  <c r="S70" i="10"/>
  <c r="S71" i="10"/>
  <c r="S72" i="10"/>
  <c r="S73" i="10"/>
  <c r="S74" i="10"/>
  <c r="S75" i="10"/>
  <c r="S76" i="10"/>
  <c r="S77" i="10"/>
  <c r="S78" i="10"/>
  <c r="S79" i="10"/>
  <c r="S80" i="10"/>
  <c r="S81" i="10"/>
  <c r="S82" i="10"/>
  <c r="S83" i="10"/>
  <c r="S84" i="10"/>
  <c r="S85" i="10"/>
  <c r="S86" i="10"/>
  <c r="S87" i="10"/>
  <c r="S88" i="10"/>
  <c r="S89" i="10"/>
  <c r="S90" i="10"/>
  <c r="S91" i="10"/>
  <c r="S92" i="10"/>
  <c r="S93" i="10"/>
  <c r="S94" i="10"/>
  <c r="S95" i="10"/>
  <c r="S96" i="10"/>
  <c r="S97" i="10"/>
  <c r="S98" i="10"/>
  <c r="S99" i="10"/>
  <c r="S100" i="10"/>
  <c r="S101" i="10"/>
  <c r="S102" i="10"/>
  <c r="S103" i="10"/>
  <c r="S104" i="10"/>
  <c r="S105" i="10"/>
  <c r="S106" i="10"/>
  <c r="S107" i="10"/>
  <c r="S108" i="10"/>
  <c r="S109" i="10"/>
  <c r="S110" i="10"/>
  <c r="S111" i="10"/>
  <c r="S112" i="10"/>
  <c r="S113" i="10"/>
  <c r="S114" i="10"/>
  <c r="S115" i="10"/>
  <c r="S116" i="10"/>
  <c r="S117" i="10"/>
  <c r="S118" i="10"/>
  <c r="S119" i="10"/>
  <c r="S120" i="10"/>
  <c r="S121" i="10"/>
  <c r="S122" i="10"/>
  <c r="S123" i="10"/>
  <c r="S124" i="10"/>
  <c r="S125" i="10"/>
  <c r="S126" i="10"/>
  <c r="S127" i="10"/>
  <c r="S128" i="10"/>
  <c r="S129" i="10"/>
  <c r="S130" i="10"/>
  <c r="S131" i="10"/>
  <c r="S132" i="10"/>
  <c r="S133" i="10"/>
  <c r="S134" i="10"/>
  <c r="S135" i="10"/>
  <c r="S136" i="10"/>
  <c r="S137" i="10"/>
  <c r="S138" i="10"/>
  <c r="S139" i="10"/>
  <c r="S140" i="10"/>
  <c r="S141" i="10"/>
  <c r="S142" i="10"/>
  <c r="S143" i="10"/>
  <c r="S144" i="10"/>
  <c r="S145" i="10"/>
  <c r="S146" i="10"/>
  <c r="S147" i="10"/>
  <c r="S148" i="10"/>
  <c r="S149" i="10"/>
  <c r="S150" i="10"/>
  <c r="S151" i="10"/>
  <c r="S152" i="10"/>
  <c r="S153" i="10"/>
  <c r="S154" i="10"/>
  <c r="S155" i="10"/>
  <c r="S156" i="10"/>
  <c r="S157" i="10"/>
  <c r="S158" i="10"/>
  <c r="S159" i="10"/>
  <c r="S160" i="10"/>
  <c r="S161" i="10"/>
  <c r="S162" i="10"/>
  <c r="S163" i="10"/>
  <c r="S164" i="10"/>
  <c r="S165" i="10"/>
  <c r="S166" i="10"/>
  <c r="S167" i="10"/>
  <c r="S168" i="10"/>
  <c r="S169" i="10"/>
  <c r="S170" i="10"/>
  <c r="S171" i="10"/>
  <c r="S172" i="10"/>
  <c r="S173" i="10"/>
  <c r="S174" i="10"/>
  <c r="S175" i="10"/>
  <c r="S176" i="10"/>
  <c r="S177" i="10"/>
  <c r="S178" i="10"/>
  <c r="S179" i="10"/>
  <c r="S180" i="10"/>
  <c r="S181" i="10"/>
  <c r="S182" i="10"/>
  <c r="S183" i="10"/>
  <c r="S184" i="10"/>
  <c r="S185" i="10"/>
  <c r="S186" i="10"/>
  <c r="S187" i="10"/>
  <c r="S188" i="10"/>
  <c r="S189" i="10"/>
  <c r="S190" i="10"/>
  <c r="S191" i="10"/>
  <c r="S192" i="10"/>
  <c r="S193" i="10"/>
  <c r="S194" i="10"/>
  <c r="S195" i="10"/>
  <c r="S196" i="10"/>
  <c r="S197" i="10"/>
  <c r="S198" i="10"/>
  <c r="S199" i="10"/>
  <c r="S200" i="10"/>
  <c r="S201" i="10"/>
  <c r="S202" i="10"/>
  <c r="S203" i="10"/>
  <c r="S204" i="10"/>
  <c r="S205" i="10"/>
  <c r="S206" i="10"/>
  <c r="S207" i="10"/>
  <c r="S208" i="10"/>
  <c r="S209" i="10"/>
  <c r="S210" i="10"/>
  <c r="S211" i="10"/>
  <c r="S212" i="10"/>
  <c r="S213" i="10"/>
  <c r="S214" i="10"/>
  <c r="S215" i="10"/>
  <c r="S216" i="10"/>
  <c r="S217" i="10"/>
  <c r="S218" i="10"/>
  <c r="S219" i="10"/>
  <c r="S220" i="10"/>
  <c r="S221" i="10"/>
  <c r="S222" i="10"/>
  <c r="S223" i="10"/>
  <c r="S224" i="10"/>
  <c r="S225" i="10"/>
  <c r="S226" i="10"/>
  <c r="S227" i="10"/>
  <c r="S228" i="10"/>
  <c r="S229" i="10"/>
  <c r="S230" i="10"/>
  <c r="S231" i="10"/>
  <c r="S232" i="10"/>
  <c r="S233" i="10"/>
  <c r="S234" i="10"/>
  <c r="S235" i="10"/>
  <c r="S236" i="10"/>
  <c r="S237" i="10"/>
  <c r="S238" i="10"/>
  <c r="S239" i="10"/>
  <c r="S240" i="10"/>
  <c r="S241" i="10"/>
  <c r="S242" i="10"/>
  <c r="S243" i="10"/>
  <c r="S244" i="10"/>
  <c r="S245" i="10"/>
  <c r="S246" i="10"/>
  <c r="S247" i="10"/>
  <c r="S248" i="10"/>
  <c r="S249" i="10"/>
  <c r="S250" i="10"/>
  <c r="S251" i="10"/>
  <c r="S252" i="10"/>
  <c r="S253" i="10"/>
  <c r="S254" i="10"/>
  <c r="S255" i="10"/>
  <c r="S256" i="10"/>
  <c r="S257" i="10"/>
  <c r="S258" i="10"/>
  <c r="S259" i="10"/>
  <c r="S260" i="10"/>
  <c r="S261" i="10"/>
  <c r="S262" i="10"/>
  <c r="S263" i="10"/>
  <c r="S264" i="10"/>
  <c r="S265" i="10"/>
  <c r="S266" i="10"/>
  <c r="S267" i="10"/>
  <c r="S268" i="10"/>
  <c r="S269" i="10"/>
  <c r="S270" i="10"/>
  <c r="S271" i="10"/>
  <c r="S272" i="10"/>
  <c r="S273" i="10"/>
  <c r="S274" i="10"/>
  <c r="S275" i="10"/>
  <c r="S276" i="10"/>
  <c r="S277" i="10"/>
  <c r="S278" i="10"/>
  <c r="S279" i="10"/>
  <c r="S280" i="10"/>
  <c r="S281" i="10"/>
  <c r="S282" i="10"/>
  <c r="S283" i="10"/>
  <c r="S284" i="10"/>
  <c r="S285" i="10"/>
  <c r="S286" i="10"/>
  <c r="S287" i="10"/>
  <c r="S288" i="10"/>
  <c r="S289" i="10"/>
  <c r="S290" i="10"/>
  <c r="S291" i="10"/>
  <c r="S292" i="10"/>
  <c r="S293" i="10"/>
  <c r="S294" i="10"/>
  <c r="S295" i="10"/>
  <c r="S296" i="10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6" i="10"/>
  <c r="R27" i="10"/>
  <c r="R28" i="10"/>
  <c r="R29" i="10"/>
  <c r="R30" i="10"/>
  <c r="R31" i="10"/>
  <c r="R32" i="10"/>
  <c r="R33" i="10"/>
  <c r="R34" i="10"/>
  <c r="R35" i="10"/>
  <c r="R36" i="10"/>
  <c r="R37" i="10"/>
  <c r="R38" i="10"/>
  <c r="R39" i="10"/>
  <c r="R40" i="10"/>
  <c r="R41" i="10"/>
  <c r="R42" i="10"/>
  <c r="R43" i="10"/>
  <c r="R44" i="10"/>
  <c r="R45" i="10"/>
  <c r="R46" i="10"/>
  <c r="R47" i="10"/>
  <c r="R48" i="10"/>
  <c r="R49" i="10"/>
  <c r="R50" i="10"/>
  <c r="R51" i="10"/>
  <c r="R52" i="10"/>
  <c r="R53" i="10"/>
  <c r="R54" i="10"/>
  <c r="R55" i="10"/>
  <c r="R56" i="10"/>
  <c r="R57" i="10"/>
  <c r="R58" i="10"/>
  <c r="R59" i="10"/>
  <c r="R60" i="10"/>
  <c r="R61" i="10"/>
  <c r="R62" i="10"/>
  <c r="R63" i="10"/>
  <c r="R64" i="10"/>
  <c r="R65" i="10"/>
  <c r="R66" i="10"/>
  <c r="R67" i="10"/>
  <c r="R68" i="10"/>
  <c r="R69" i="10"/>
  <c r="R70" i="10"/>
  <c r="R71" i="10"/>
  <c r="R72" i="10"/>
  <c r="R73" i="10"/>
  <c r="R74" i="10"/>
  <c r="R75" i="10"/>
  <c r="R76" i="10"/>
  <c r="R77" i="10"/>
  <c r="R78" i="10"/>
  <c r="R79" i="10"/>
  <c r="R80" i="10"/>
  <c r="R81" i="10"/>
  <c r="R82" i="10"/>
  <c r="R83" i="10"/>
  <c r="R84" i="10"/>
  <c r="R85" i="10"/>
  <c r="R86" i="10"/>
  <c r="R87" i="10"/>
  <c r="R88" i="10"/>
  <c r="R89" i="10"/>
  <c r="R90" i="10"/>
  <c r="R91" i="10"/>
  <c r="R92" i="10"/>
  <c r="R93" i="10"/>
  <c r="R94" i="10"/>
  <c r="R95" i="10"/>
  <c r="R96" i="10"/>
  <c r="R97" i="10"/>
  <c r="R98" i="10"/>
  <c r="R99" i="10"/>
  <c r="R100" i="10"/>
  <c r="R101" i="10"/>
  <c r="R102" i="10"/>
  <c r="R103" i="10"/>
  <c r="R104" i="10"/>
  <c r="R105" i="10"/>
  <c r="R106" i="10"/>
  <c r="R107" i="10"/>
  <c r="R108" i="10"/>
  <c r="R109" i="10"/>
  <c r="R110" i="10"/>
  <c r="R111" i="10"/>
  <c r="R112" i="10"/>
  <c r="R113" i="10"/>
  <c r="R114" i="10"/>
  <c r="R115" i="10"/>
  <c r="R116" i="10"/>
  <c r="R117" i="10"/>
  <c r="R118" i="10"/>
  <c r="R119" i="10"/>
  <c r="R120" i="10"/>
  <c r="R121" i="10"/>
  <c r="R122" i="10"/>
  <c r="R123" i="10"/>
  <c r="R124" i="10"/>
  <c r="R125" i="10"/>
  <c r="R126" i="10"/>
  <c r="R127" i="10"/>
  <c r="R128" i="10"/>
  <c r="R129" i="10"/>
  <c r="R130" i="10"/>
  <c r="R131" i="10"/>
  <c r="R132" i="10"/>
  <c r="R133" i="10"/>
  <c r="R134" i="10"/>
  <c r="R135" i="10"/>
  <c r="R136" i="10"/>
  <c r="R137" i="10"/>
  <c r="R138" i="10"/>
  <c r="R139" i="10"/>
  <c r="R140" i="10"/>
  <c r="R141" i="10"/>
  <c r="R142" i="10"/>
  <c r="R143" i="10"/>
  <c r="R144" i="10"/>
  <c r="R145" i="10"/>
  <c r="R146" i="10"/>
  <c r="R147" i="10"/>
  <c r="R148" i="10"/>
  <c r="R149" i="10"/>
  <c r="R150" i="10"/>
  <c r="R151" i="10"/>
  <c r="R152" i="10"/>
  <c r="R153" i="10"/>
  <c r="R154" i="10"/>
  <c r="R155" i="10"/>
  <c r="R156" i="10"/>
  <c r="R157" i="10"/>
  <c r="R158" i="10"/>
  <c r="R159" i="10"/>
  <c r="R160" i="10"/>
  <c r="R161" i="10"/>
  <c r="R162" i="10"/>
  <c r="R163" i="10"/>
  <c r="R164" i="10"/>
  <c r="R165" i="10"/>
  <c r="R166" i="10"/>
  <c r="R167" i="10"/>
  <c r="R168" i="10"/>
  <c r="R169" i="10"/>
  <c r="R170" i="10"/>
  <c r="R171" i="10"/>
  <c r="R172" i="10"/>
  <c r="R173" i="10"/>
  <c r="R174" i="10"/>
  <c r="R175" i="10"/>
  <c r="R176" i="10"/>
  <c r="R177" i="10"/>
  <c r="R178" i="10"/>
  <c r="R179" i="10"/>
  <c r="R180" i="10"/>
  <c r="R181" i="10"/>
  <c r="R182" i="10"/>
  <c r="R183" i="10"/>
  <c r="R184" i="10"/>
  <c r="R185" i="10"/>
  <c r="R186" i="10"/>
  <c r="R187" i="10"/>
  <c r="R188" i="10"/>
  <c r="R189" i="10"/>
  <c r="R190" i="10"/>
  <c r="R191" i="10"/>
  <c r="R192" i="10"/>
  <c r="R193" i="10"/>
  <c r="R194" i="10"/>
  <c r="R195" i="10"/>
  <c r="R196" i="10"/>
  <c r="R197" i="10"/>
  <c r="R198" i="10"/>
  <c r="R199" i="10"/>
  <c r="R200" i="10"/>
  <c r="R201" i="10"/>
  <c r="R202" i="10"/>
  <c r="R203" i="10"/>
  <c r="R204" i="10"/>
  <c r="R205" i="10"/>
  <c r="R206" i="10"/>
  <c r="R207" i="10"/>
  <c r="R208" i="10"/>
  <c r="R209" i="10"/>
  <c r="R210" i="10"/>
  <c r="R211" i="10"/>
  <c r="R212" i="10"/>
  <c r="R213" i="10"/>
  <c r="R214" i="10"/>
  <c r="R215" i="10"/>
  <c r="R216" i="10"/>
  <c r="R217" i="10"/>
  <c r="R218" i="10"/>
  <c r="R219" i="10"/>
  <c r="R220" i="10"/>
  <c r="R221" i="10"/>
  <c r="R222" i="10"/>
  <c r="R223" i="10"/>
  <c r="R224" i="10"/>
  <c r="R225" i="10"/>
  <c r="R226" i="10"/>
  <c r="R227" i="10"/>
  <c r="R228" i="10"/>
  <c r="R229" i="10"/>
  <c r="R230" i="10"/>
  <c r="R231" i="10"/>
  <c r="R232" i="10"/>
  <c r="R233" i="10"/>
  <c r="R234" i="10"/>
  <c r="R235" i="10"/>
  <c r="R236" i="10"/>
  <c r="R237" i="10"/>
  <c r="R238" i="10"/>
  <c r="R239" i="10"/>
  <c r="R240" i="10"/>
  <c r="R241" i="10"/>
  <c r="R242" i="10"/>
  <c r="R243" i="10"/>
  <c r="R244" i="10"/>
  <c r="R245" i="10"/>
  <c r="R246" i="10"/>
  <c r="R247" i="10"/>
  <c r="R248" i="10"/>
  <c r="R249" i="10"/>
  <c r="R250" i="10"/>
  <c r="R251" i="10"/>
  <c r="R252" i="10"/>
  <c r="R253" i="10"/>
  <c r="R254" i="10"/>
  <c r="R255" i="10"/>
  <c r="R256" i="10"/>
  <c r="R257" i="10"/>
  <c r="R258" i="10"/>
  <c r="R259" i="10"/>
  <c r="R260" i="10"/>
  <c r="R261" i="10"/>
  <c r="R262" i="10"/>
  <c r="R263" i="10"/>
  <c r="R264" i="10"/>
  <c r="R265" i="10"/>
  <c r="R266" i="10"/>
  <c r="R267" i="10"/>
  <c r="R268" i="10"/>
  <c r="R269" i="10"/>
  <c r="R270" i="10"/>
  <c r="R271" i="10"/>
  <c r="R272" i="10"/>
  <c r="R273" i="10"/>
  <c r="R274" i="10"/>
  <c r="R275" i="10"/>
  <c r="R276" i="10"/>
  <c r="R277" i="10"/>
  <c r="R278" i="10"/>
  <c r="R279" i="10"/>
  <c r="R280" i="10"/>
  <c r="R281" i="10"/>
  <c r="R282" i="10"/>
  <c r="R283" i="10"/>
  <c r="R284" i="10"/>
  <c r="R285" i="10"/>
  <c r="R286" i="10"/>
  <c r="R287" i="10"/>
  <c r="R288" i="10"/>
  <c r="R289" i="10"/>
  <c r="R290" i="10"/>
  <c r="R291" i="10"/>
  <c r="R292" i="10"/>
  <c r="R293" i="10"/>
  <c r="R294" i="10"/>
  <c r="R295" i="10"/>
  <c r="R296" i="10"/>
  <c r="R2" i="10"/>
  <c r="Q2" i="10"/>
  <c r="Q3" i="10"/>
  <c r="T3" i="10" s="1"/>
  <c r="Q4" i="10"/>
  <c r="Q5" i="10"/>
  <c r="Q6" i="10"/>
  <c r="Q7" i="10"/>
  <c r="Q8" i="10"/>
  <c r="Q9" i="10"/>
  <c r="Q10" i="10"/>
  <c r="Q11" i="10"/>
  <c r="T11" i="10" s="1"/>
  <c r="Q12" i="10"/>
  <c r="Q13" i="10"/>
  <c r="Q14" i="10"/>
  <c r="Q15" i="10"/>
  <c r="Q16" i="10"/>
  <c r="Q17" i="10"/>
  <c r="Q18" i="10"/>
  <c r="Q19" i="10"/>
  <c r="T19" i="10" s="1"/>
  <c r="Q20" i="10"/>
  <c r="Q21" i="10"/>
  <c r="Q22" i="10"/>
  <c r="Q23" i="10"/>
  <c r="Q24" i="10"/>
  <c r="Q25" i="10"/>
  <c r="Q26" i="10"/>
  <c r="Q27" i="10"/>
  <c r="T27" i="10" s="1"/>
  <c r="Q28" i="10"/>
  <c r="Q29" i="10"/>
  <c r="Q30" i="10"/>
  <c r="Q31" i="10"/>
  <c r="Q32" i="10"/>
  <c r="Q33" i="10"/>
  <c r="Q34" i="10"/>
  <c r="Q35" i="10"/>
  <c r="T35" i="10" s="1"/>
  <c r="Q36" i="10"/>
  <c r="Q37" i="10"/>
  <c r="Q38" i="10"/>
  <c r="Q39" i="10"/>
  <c r="Q40" i="10"/>
  <c r="Q41" i="10"/>
  <c r="Q42" i="10"/>
  <c r="Q43" i="10"/>
  <c r="T43" i="10" s="1"/>
  <c r="Q44" i="10"/>
  <c r="Q45" i="10"/>
  <c r="Q46" i="10"/>
  <c r="Q47" i="10"/>
  <c r="Q48" i="10"/>
  <c r="Q49" i="10"/>
  <c r="Q50" i="10"/>
  <c r="Q51" i="10"/>
  <c r="T51" i="10" s="1"/>
  <c r="Q52" i="10"/>
  <c r="Q53" i="10"/>
  <c r="Q54" i="10"/>
  <c r="Q55" i="10"/>
  <c r="Q56" i="10"/>
  <c r="Q57" i="10"/>
  <c r="Q58" i="10"/>
  <c r="Q59" i="10"/>
  <c r="T59" i="10" s="1"/>
  <c r="Q60" i="10"/>
  <c r="Q61" i="10"/>
  <c r="Q62" i="10"/>
  <c r="Q63" i="10"/>
  <c r="Q64" i="10"/>
  <c r="Q65" i="10"/>
  <c r="Q66" i="10"/>
  <c r="Q67" i="10"/>
  <c r="T67" i="10" s="1"/>
  <c r="Q68" i="10"/>
  <c r="Q69" i="10"/>
  <c r="Q70" i="10"/>
  <c r="Q71" i="10"/>
  <c r="Q72" i="10"/>
  <c r="Q73" i="10"/>
  <c r="Q74" i="10"/>
  <c r="Q75" i="10"/>
  <c r="T75" i="10" s="1"/>
  <c r="Q76" i="10"/>
  <c r="Q77" i="10"/>
  <c r="Q78" i="10"/>
  <c r="Q79" i="10"/>
  <c r="Q80" i="10"/>
  <c r="Q81" i="10"/>
  <c r="Q82" i="10"/>
  <c r="Q83" i="10"/>
  <c r="T83" i="10" s="1"/>
  <c r="Q84" i="10"/>
  <c r="Q85" i="10"/>
  <c r="Q86" i="10"/>
  <c r="Q87" i="10"/>
  <c r="Q88" i="10"/>
  <c r="Q89" i="10"/>
  <c r="Q90" i="10"/>
  <c r="Q91" i="10"/>
  <c r="T91" i="10" s="1"/>
  <c r="Q92" i="10"/>
  <c r="Q93" i="10"/>
  <c r="Q94" i="10"/>
  <c r="Q95" i="10"/>
  <c r="Q96" i="10"/>
  <c r="Q97" i="10"/>
  <c r="Q98" i="10"/>
  <c r="Q99" i="10"/>
  <c r="T99" i="10" s="1"/>
  <c r="Q100" i="10"/>
  <c r="Q101" i="10"/>
  <c r="Q102" i="10"/>
  <c r="Q103" i="10"/>
  <c r="Q104" i="10"/>
  <c r="Q105" i="10"/>
  <c r="Q106" i="10"/>
  <c r="Q107" i="10"/>
  <c r="T107" i="10" s="1"/>
  <c r="Q108" i="10"/>
  <c r="Q109" i="10"/>
  <c r="Q110" i="10"/>
  <c r="Q111" i="10"/>
  <c r="Q112" i="10"/>
  <c r="Q113" i="10"/>
  <c r="Q114" i="10"/>
  <c r="Q115" i="10"/>
  <c r="T115" i="10" s="1"/>
  <c r="Q116" i="10"/>
  <c r="Q117" i="10"/>
  <c r="Q118" i="10"/>
  <c r="Q119" i="10"/>
  <c r="Q120" i="10"/>
  <c r="Q121" i="10"/>
  <c r="Q122" i="10"/>
  <c r="Q123" i="10"/>
  <c r="T123" i="10" s="1"/>
  <c r="Q124" i="10"/>
  <c r="Q125" i="10"/>
  <c r="Q126" i="10"/>
  <c r="Q127" i="10"/>
  <c r="Q128" i="10"/>
  <c r="Q129" i="10"/>
  <c r="Q130" i="10"/>
  <c r="Q131" i="10"/>
  <c r="T131" i="10" s="1"/>
  <c r="Q132" i="10"/>
  <c r="Q133" i="10"/>
  <c r="Q134" i="10"/>
  <c r="Q135" i="10"/>
  <c r="Q136" i="10"/>
  <c r="Q137" i="10"/>
  <c r="Q138" i="10"/>
  <c r="Q139" i="10"/>
  <c r="T139" i="10" s="1"/>
  <c r="Q140" i="10"/>
  <c r="Q141" i="10"/>
  <c r="Q142" i="10"/>
  <c r="Q143" i="10"/>
  <c r="Q144" i="10"/>
  <c r="Q145" i="10"/>
  <c r="Q146" i="10"/>
  <c r="Q147" i="10"/>
  <c r="T147" i="10" s="1"/>
  <c r="Q148" i="10"/>
  <c r="Q149" i="10"/>
  <c r="Q150" i="10"/>
  <c r="Q151" i="10"/>
  <c r="Q152" i="10"/>
  <c r="Q153" i="10"/>
  <c r="Q154" i="10"/>
  <c r="Q155" i="10"/>
  <c r="T155" i="10" s="1"/>
  <c r="Q156" i="10"/>
  <c r="Q157" i="10"/>
  <c r="Q158" i="10"/>
  <c r="Q159" i="10"/>
  <c r="Q160" i="10"/>
  <c r="Q161" i="10"/>
  <c r="Q162" i="10"/>
  <c r="Q163" i="10"/>
  <c r="T163" i="10" s="1"/>
  <c r="Q164" i="10"/>
  <c r="Q165" i="10"/>
  <c r="Q166" i="10"/>
  <c r="Q167" i="10"/>
  <c r="Q168" i="10"/>
  <c r="Q169" i="10"/>
  <c r="Q170" i="10"/>
  <c r="Q171" i="10"/>
  <c r="T171" i="10" s="1"/>
  <c r="Q172" i="10"/>
  <c r="Q173" i="10"/>
  <c r="Q174" i="10"/>
  <c r="Q175" i="10"/>
  <c r="Q176" i="10"/>
  <c r="Q177" i="10"/>
  <c r="Q178" i="10"/>
  <c r="Q179" i="10"/>
  <c r="T179" i="10" s="1"/>
  <c r="Q180" i="10"/>
  <c r="Q181" i="10"/>
  <c r="Q182" i="10"/>
  <c r="Q183" i="10"/>
  <c r="Q184" i="10"/>
  <c r="Q185" i="10"/>
  <c r="Q186" i="10"/>
  <c r="Q187" i="10"/>
  <c r="T187" i="10" s="1"/>
  <c r="Q188" i="10"/>
  <c r="Q189" i="10"/>
  <c r="Q190" i="10"/>
  <c r="Q191" i="10"/>
  <c r="Q192" i="10"/>
  <c r="Q193" i="10"/>
  <c r="Q194" i="10"/>
  <c r="Q195" i="10"/>
  <c r="T195" i="10" s="1"/>
  <c r="Q196" i="10"/>
  <c r="Q197" i="10"/>
  <c r="Q198" i="10"/>
  <c r="Q199" i="10"/>
  <c r="Q200" i="10"/>
  <c r="Q201" i="10"/>
  <c r="Q202" i="10"/>
  <c r="Q203" i="10"/>
  <c r="T203" i="10" s="1"/>
  <c r="Q204" i="10"/>
  <c r="Q205" i="10"/>
  <c r="Q206" i="10"/>
  <c r="Q207" i="10"/>
  <c r="Q208" i="10"/>
  <c r="Q209" i="10"/>
  <c r="Q210" i="10"/>
  <c r="Q211" i="10"/>
  <c r="T211" i="10" s="1"/>
  <c r="Q212" i="10"/>
  <c r="Q213" i="10"/>
  <c r="Q214" i="10"/>
  <c r="Q215" i="10"/>
  <c r="Q216" i="10"/>
  <c r="Q217" i="10"/>
  <c r="Q218" i="10"/>
  <c r="Q219" i="10"/>
  <c r="T219" i="10" s="1"/>
  <c r="Q220" i="10"/>
  <c r="Q221" i="10"/>
  <c r="Q222" i="10"/>
  <c r="Q223" i="10"/>
  <c r="Q224" i="10"/>
  <c r="Q225" i="10"/>
  <c r="Q226" i="10"/>
  <c r="Q227" i="10"/>
  <c r="T227" i="10" s="1"/>
  <c r="Q228" i="10"/>
  <c r="Q229" i="10"/>
  <c r="Q230" i="10"/>
  <c r="Q231" i="10"/>
  <c r="Q232" i="10"/>
  <c r="Q233" i="10"/>
  <c r="Q234" i="10"/>
  <c r="Q235" i="10"/>
  <c r="T235" i="10" s="1"/>
  <c r="Q236" i="10"/>
  <c r="Q237" i="10"/>
  <c r="Q238" i="10"/>
  <c r="Q239" i="10"/>
  <c r="Q240" i="10"/>
  <c r="Q241" i="10"/>
  <c r="Q242" i="10"/>
  <c r="Q243" i="10"/>
  <c r="T243" i="10" s="1"/>
  <c r="Q244" i="10"/>
  <c r="Q245" i="10"/>
  <c r="Q246" i="10"/>
  <c r="Q247" i="10"/>
  <c r="Q248" i="10"/>
  <c r="Q249" i="10"/>
  <c r="Q250" i="10"/>
  <c r="Q251" i="10"/>
  <c r="T251" i="10" s="1"/>
  <c r="Q252" i="10"/>
  <c r="Q253" i="10"/>
  <c r="Q254" i="10"/>
  <c r="Q255" i="10"/>
  <c r="Q256" i="10"/>
  <c r="Q257" i="10"/>
  <c r="Q258" i="10"/>
  <c r="Q259" i="10"/>
  <c r="T259" i="10" s="1"/>
  <c r="Q260" i="10"/>
  <c r="Q261" i="10"/>
  <c r="Q262" i="10"/>
  <c r="Q263" i="10"/>
  <c r="Q264" i="10"/>
  <c r="Q265" i="10"/>
  <c r="Q266" i="10"/>
  <c r="Q267" i="10"/>
  <c r="T267" i="10" s="1"/>
  <c r="Q268" i="10"/>
  <c r="Q269" i="10"/>
  <c r="Q270" i="10"/>
  <c r="Q271" i="10"/>
  <c r="Q272" i="10"/>
  <c r="Q273" i="10"/>
  <c r="Q274" i="10"/>
  <c r="Q275" i="10"/>
  <c r="T275" i="10" s="1"/>
  <c r="Q276" i="10"/>
  <c r="Q277" i="10"/>
  <c r="Q278" i="10"/>
  <c r="Q279" i="10"/>
  <c r="Q280" i="10"/>
  <c r="Q281" i="10"/>
  <c r="Q282" i="10"/>
  <c r="Q283" i="10"/>
  <c r="T283" i="10" s="1"/>
  <c r="Q284" i="10"/>
  <c r="Q285" i="10"/>
  <c r="Q286" i="10"/>
  <c r="Q287" i="10"/>
  <c r="Q288" i="10"/>
  <c r="Q289" i="10"/>
  <c r="Q290" i="10"/>
  <c r="Q291" i="10"/>
  <c r="T291" i="10" s="1"/>
  <c r="Q292" i="10"/>
  <c r="Q293" i="10"/>
  <c r="Q294" i="10"/>
  <c r="Q295" i="10"/>
  <c r="Q296" i="10"/>
  <c r="N296" i="10"/>
  <c r="N295" i="10"/>
  <c r="N294" i="10"/>
  <c r="N293" i="10"/>
  <c r="N292" i="10"/>
  <c r="N291" i="10"/>
  <c r="N290" i="10"/>
  <c r="N289" i="10"/>
  <c r="N288" i="10"/>
  <c r="N287" i="10"/>
  <c r="N286" i="10"/>
  <c r="N285" i="10"/>
  <c r="N284" i="10"/>
  <c r="N283" i="10"/>
  <c r="N282" i="10"/>
  <c r="N281" i="10"/>
  <c r="N280" i="10"/>
  <c r="N279" i="10"/>
  <c r="N278" i="10"/>
  <c r="N277" i="10"/>
  <c r="N276" i="10"/>
  <c r="N275" i="10"/>
  <c r="N274" i="10"/>
  <c r="N273" i="10"/>
  <c r="N272" i="10"/>
  <c r="N271" i="10"/>
  <c r="N270" i="10"/>
  <c r="N269" i="10"/>
  <c r="N268" i="10"/>
  <c r="N267" i="10"/>
  <c r="N266" i="10"/>
  <c r="N265" i="10"/>
  <c r="N264" i="10"/>
  <c r="N263" i="10"/>
  <c r="N262" i="10"/>
  <c r="N261" i="10"/>
  <c r="N260" i="10"/>
  <c r="N259" i="10"/>
  <c r="N258" i="10"/>
  <c r="N257" i="10"/>
  <c r="N256" i="10"/>
  <c r="N255" i="10"/>
  <c r="N254" i="10"/>
  <c r="N253" i="10"/>
  <c r="N252" i="10"/>
  <c r="N251" i="10"/>
  <c r="N250" i="10"/>
  <c r="N249" i="10"/>
  <c r="N248" i="10"/>
  <c r="N247" i="10"/>
  <c r="N246" i="10"/>
  <c r="N245" i="10"/>
  <c r="N244" i="10"/>
  <c r="N243" i="10"/>
  <c r="N242" i="10"/>
  <c r="N241" i="10"/>
  <c r="N240" i="10"/>
  <c r="N239" i="10"/>
  <c r="N238" i="10"/>
  <c r="N237" i="10"/>
  <c r="N236" i="10"/>
  <c r="N235" i="10"/>
  <c r="N234" i="10"/>
  <c r="N233" i="10"/>
  <c r="N232" i="10"/>
  <c r="N231" i="10"/>
  <c r="N230" i="10"/>
  <c r="N229" i="10"/>
  <c r="N228" i="10"/>
  <c r="N227" i="10"/>
  <c r="N226" i="10"/>
  <c r="N225" i="10"/>
  <c r="N224" i="10"/>
  <c r="N223" i="10"/>
  <c r="N222" i="10"/>
  <c r="N221" i="10"/>
  <c r="N220" i="10"/>
  <c r="N219" i="10"/>
  <c r="N218" i="10"/>
  <c r="N217" i="10"/>
  <c r="N216" i="10"/>
  <c r="N215" i="10"/>
  <c r="N214" i="10"/>
  <c r="N213" i="10"/>
  <c r="N212" i="10"/>
  <c r="N211" i="10"/>
  <c r="N210" i="10"/>
  <c r="N209" i="10"/>
  <c r="N208" i="10"/>
  <c r="N207" i="10"/>
  <c r="N206" i="10"/>
  <c r="N205" i="10"/>
  <c r="N204" i="10"/>
  <c r="N203" i="10"/>
  <c r="N202" i="10"/>
  <c r="N201" i="10"/>
  <c r="N200" i="10"/>
  <c r="N199" i="10"/>
  <c r="N198" i="10"/>
  <c r="N197" i="10"/>
  <c r="N196" i="10"/>
  <c r="N195" i="10"/>
  <c r="N194" i="10"/>
  <c r="N193" i="10"/>
  <c r="N192" i="10"/>
  <c r="N191" i="10"/>
  <c r="N190" i="10"/>
  <c r="N189" i="10"/>
  <c r="N188" i="10"/>
  <c r="N187" i="10"/>
  <c r="N186" i="10"/>
  <c r="N185" i="10"/>
  <c r="N184" i="10"/>
  <c r="N183" i="10"/>
  <c r="N182" i="10"/>
  <c r="N181" i="10"/>
  <c r="N180" i="10"/>
  <c r="N179" i="10"/>
  <c r="N178" i="10"/>
  <c r="N177" i="10"/>
  <c r="N176" i="10"/>
  <c r="N175" i="10"/>
  <c r="N174" i="10"/>
  <c r="N173" i="10"/>
  <c r="N172" i="10"/>
  <c r="N171" i="10"/>
  <c r="N170" i="10"/>
  <c r="N169" i="10"/>
  <c r="N168" i="10"/>
  <c r="N167" i="10"/>
  <c r="N166" i="10"/>
  <c r="N165" i="10"/>
  <c r="N164" i="10"/>
  <c r="N163" i="10"/>
  <c r="N162" i="10"/>
  <c r="N161" i="10"/>
  <c r="N160" i="10"/>
  <c r="N159" i="10"/>
  <c r="N158" i="10"/>
  <c r="N157" i="10"/>
  <c r="N156" i="10"/>
  <c r="N155" i="10"/>
  <c r="N154" i="10"/>
  <c r="N153" i="10"/>
  <c r="N152" i="10"/>
  <c r="N151" i="10"/>
  <c r="N150" i="10"/>
  <c r="N149" i="10"/>
  <c r="N148" i="10"/>
  <c r="N147" i="10"/>
  <c r="N146" i="10"/>
  <c r="N145" i="10"/>
  <c r="N144" i="10"/>
  <c r="N143" i="10"/>
  <c r="N142" i="10"/>
  <c r="N141" i="10"/>
  <c r="N140" i="10"/>
  <c r="N139" i="10"/>
  <c r="N138" i="10"/>
  <c r="N137" i="10"/>
  <c r="N136" i="10"/>
  <c r="N135" i="10"/>
  <c r="N134" i="10"/>
  <c r="N133" i="10"/>
  <c r="N132" i="10"/>
  <c r="N131" i="10"/>
  <c r="N130" i="10"/>
  <c r="N129" i="10"/>
  <c r="N128" i="10"/>
  <c r="N127" i="10"/>
  <c r="N126" i="10"/>
  <c r="N125" i="10"/>
  <c r="N124" i="10"/>
  <c r="N123" i="10"/>
  <c r="N122" i="10"/>
  <c r="N121" i="10"/>
  <c r="N120" i="10"/>
  <c r="N119" i="10"/>
  <c r="N118" i="10"/>
  <c r="N117" i="10"/>
  <c r="N116" i="10"/>
  <c r="N115" i="10"/>
  <c r="N114" i="10"/>
  <c r="N113" i="10"/>
  <c r="N112" i="10"/>
  <c r="N111" i="10"/>
  <c r="N110" i="10"/>
  <c r="N109" i="10"/>
  <c r="N108" i="10"/>
  <c r="N107" i="10"/>
  <c r="N106" i="10"/>
  <c r="N105" i="10"/>
  <c r="N104" i="10"/>
  <c r="N103" i="10"/>
  <c r="N102" i="10"/>
  <c r="N101" i="10"/>
  <c r="N100" i="10"/>
  <c r="N99" i="10"/>
  <c r="N98" i="10"/>
  <c r="N97" i="10"/>
  <c r="N96" i="10"/>
  <c r="N95" i="10"/>
  <c r="N94" i="10"/>
  <c r="N93" i="10"/>
  <c r="N92" i="10"/>
  <c r="N91" i="10"/>
  <c r="N90" i="10"/>
  <c r="N89" i="10"/>
  <c r="N88" i="10"/>
  <c r="N87" i="10"/>
  <c r="N86" i="10"/>
  <c r="N85" i="10"/>
  <c r="N84" i="10"/>
  <c r="N83" i="10"/>
  <c r="N82" i="10"/>
  <c r="N81" i="10"/>
  <c r="N80" i="10"/>
  <c r="N79" i="10"/>
  <c r="N78" i="10"/>
  <c r="N77" i="10"/>
  <c r="N76" i="10"/>
  <c r="N75" i="10"/>
  <c r="N74" i="10"/>
  <c r="N73" i="10"/>
  <c r="N72" i="10"/>
  <c r="N71" i="10"/>
  <c r="N70" i="10"/>
  <c r="N69" i="10"/>
  <c r="N68" i="10"/>
  <c r="N67" i="10"/>
  <c r="N66" i="10"/>
  <c r="N65" i="10"/>
  <c r="N64" i="10"/>
  <c r="N63" i="10"/>
  <c r="N62" i="10"/>
  <c r="N61" i="10"/>
  <c r="N60" i="10"/>
  <c r="N59" i="10"/>
  <c r="N58" i="10"/>
  <c r="N57" i="10"/>
  <c r="N56" i="10"/>
  <c r="N55" i="10"/>
  <c r="N54" i="10"/>
  <c r="N53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K33" i="3"/>
  <c r="D59" i="3"/>
  <c r="D58" i="3"/>
  <c r="D57" i="3"/>
  <c r="D56" i="3"/>
  <c r="D52" i="3"/>
  <c r="D55" i="3"/>
  <c r="D54" i="3"/>
  <c r="D53" i="3"/>
  <c r="D51" i="3"/>
  <c r="F25" i="3"/>
  <c r="F34" i="3"/>
  <c r="F24" i="3"/>
  <c r="F35" i="3"/>
  <c r="F33" i="3"/>
  <c r="M40" i="3"/>
  <c r="M39" i="3"/>
  <c r="M31" i="3"/>
  <c r="M30" i="3"/>
  <c r="M47" i="3"/>
  <c r="D17" i="3"/>
  <c r="M29" i="3"/>
  <c r="F26" i="3"/>
  <c r="M32" i="3"/>
  <c r="M42" i="3"/>
  <c r="L23" i="3"/>
  <c r="M48" i="3"/>
  <c r="M41" i="3"/>
  <c r="L66" i="3"/>
  <c r="E51" i="3" l="1"/>
  <c r="E53" i="3"/>
  <c r="E54" i="3"/>
  <c r="E55" i="3"/>
  <c r="E52" i="3"/>
  <c r="E56" i="3"/>
  <c r="E57" i="3"/>
  <c r="E58" i="3"/>
  <c r="E59" i="3"/>
  <c r="T31" i="10"/>
  <c r="U31" i="10" s="1"/>
  <c r="T23" i="10"/>
  <c r="T15" i="10"/>
  <c r="T7" i="10"/>
  <c r="U7" i="10" s="1"/>
  <c r="T130" i="10"/>
  <c r="U130" i="10" s="1"/>
  <c r="T122" i="10"/>
  <c r="U122" i="10" s="1"/>
  <c r="T114" i="10"/>
  <c r="U114" i="10" s="1"/>
  <c r="T106" i="10"/>
  <c r="U106" i="10" s="1"/>
  <c r="T98" i="10"/>
  <c r="U98" i="10" s="1"/>
  <c r="T90" i="10"/>
  <c r="U90" i="10" s="1"/>
  <c r="T82" i="10"/>
  <c r="U82" i="10" s="1"/>
  <c r="T74" i="10"/>
  <c r="U74" i="10" s="1"/>
  <c r="T66" i="10"/>
  <c r="U66" i="10" s="1"/>
  <c r="T58" i="10"/>
  <c r="U58" i="10" s="1"/>
  <c r="T42" i="10"/>
  <c r="U42" i="10" s="1"/>
  <c r="T34" i="10"/>
  <c r="U34" i="10" s="1"/>
  <c r="T26" i="10"/>
  <c r="U26" i="10" s="1"/>
  <c r="T18" i="10"/>
  <c r="U18" i="10" s="1"/>
  <c r="T10" i="10"/>
  <c r="U10" i="10" s="1"/>
  <c r="T16" i="10"/>
  <c r="U16" i="10" s="1"/>
  <c r="T8" i="10"/>
  <c r="U8" i="10" s="1"/>
  <c r="U283" i="10"/>
  <c r="U275" i="10"/>
  <c r="U259" i="10"/>
  <c r="U251" i="10"/>
  <c r="U243" i="10"/>
  <c r="U227" i="10"/>
  <c r="U219" i="10"/>
  <c r="U203" i="10"/>
  <c r="U195" i="10"/>
  <c r="U179" i="10"/>
  <c r="U163" i="10"/>
  <c r="U155" i="10"/>
  <c r="U139" i="10"/>
  <c r="U131" i="10"/>
  <c r="U115" i="10"/>
  <c r="U107" i="10"/>
  <c r="U99" i="10"/>
  <c r="U91" i="10"/>
  <c r="U75" i="10"/>
  <c r="U67" i="10"/>
  <c r="U51" i="10"/>
  <c r="U43" i="10"/>
  <c r="U35" i="10"/>
  <c r="U27" i="10"/>
  <c r="U11" i="10"/>
  <c r="U3" i="10"/>
  <c r="T50" i="10"/>
  <c r="U50" i="10" s="1"/>
  <c r="T32" i="10"/>
  <c r="U32" i="10" s="1"/>
  <c r="T24" i="10"/>
  <c r="U24" i="10" s="1"/>
  <c r="U267" i="10"/>
  <c r="U211" i="10"/>
  <c r="U147" i="10"/>
  <c r="T274" i="10"/>
  <c r="U274" i="10" s="1"/>
  <c r="T234" i="10"/>
  <c r="U234" i="10" s="1"/>
  <c r="T202" i="10"/>
  <c r="U202" i="10" s="1"/>
  <c r="T178" i="10"/>
  <c r="U178" i="10" s="1"/>
  <c r="T154" i="10"/>
  <c r="U154" i="10" s="1"/>
  <c r="U187" i="10"/>
  <c r="U123" i="10"/>
  <c r="T258" i="10"/>
  <c r="U258" i="10" s="1"/>
  <c r="T210" i="10"/>
  <c r="U210" i="10" s="1"/>
  <c r="U171" i="10"/>
  <c r="U83" i="10"/>
  <c r="U59" i="10"/>
  <c r="U19" i="10"/>
  <c r="U235" i="10"/>
  <c r="T242" i="10"/>
  <c r="U242" i="10" s="1"/>
  <c r="T290" i="10"/>
  <c r="U290" i="10" s="1"/>
  <c r="T266" i="10"/>
  <c r="U266" i="10" s="1"/>
  <c r="T226" i="10"/>
  <c r="U226" i="10" s="1"/>
  <c r="T194" i="10"/>
  <c r="U194" i="10" s="1"/>
  <c r="T170" i="10"/>
  <c r="U170" i="10" s="1"/>
  <c r="T146" i="10"/>
  <c r="U146" i="10" s="1"/>
  <c r="T296" i="10"/>
  <c r="U296" i="10" s="1"/>
  <c r="T288" i="10"/>
  <c r="U288" i="10" s="1"/>
  <c r="T280" i="10"/>
  <c r="U280" i="10" s="1"/>
  <c r="T272" i="10"/>
  <c r="U272" i="10" s="1"/>
  <c r="T264" i="10"/>
  <c r="U264" i="10" s="1"/>
  <c r="T256" i="10"/>
  <c r="U256" i="10" s="1"/>
  <c r="T248" i="10"/>
  <c r="U248" i="10" s="1"/>
  <c r="T240" i="10"/>
  <c r="U240" i="10" s="1"/>
  <c r="T232" i="10"/>
  <c r="U232" i="10" s="1"/>
  <c r="T224" i="10"/>
  <c r="U224" i="10" s="1"/>
  <c r="T216" i="10"/>
  <c r="U216" i="10" s="1"/>
  <c r="T208" i="10"/>
  <c r="U208" i="10" s="1"/>
  <c r="T200" i="10"/>
  <c r="U200" i="10" s="1"/>
  <c r="T192" i="10"/>
  <c r="U192" i="10" s="1"/>
  <c r="T184" i="10"/>
  <c r="U184" i="10" s="1"/>
  <c r="T176" i="10"/>
  <c r="U176" i="10" s="1"/>
  <c r="T168" i="10"/>
  <c r="U168" i="10" s="1"/>
  <c r="T160" i="10"/>
  <c r="U160" i="10" s="1"/>
  <c r="T152" i="10"/>
  <c r="U152" i="10" s="1"/>
  <c r="T144" i="10"/>
  <c r="U144" i="10" s="1"/>
  <c r="T136" i="10"/>
  <c r="U136" i="10" s="1"/>
  <c r="T128" i="10"/>
  <c r="U128" i="10" s="1"/>
  <c r="T120" i="10"/>
  <c r="U120" i="10" s="1"/>
  <c r="T112" i="10"/>
  <c r="U112" i="10" s="1"/>
  <c r="T104" i="10"/>
  <c r="U104" i="10" s="1"/>
  <c r="T96" i="10"/>
  <c r="U96" i="10" s="1"/>
  <c r="T88" i="10"/>
  <c r="U88" i="10" s="1"/>
  <c r="T80" i="10"/>
  <c r="U80" i="10" s="1"/>
  <c r="T72" i="10"/>
  <c r="U72" i="10" s="1"/>
  <c r="T64" i="10"/>
  <c r="U64" i="10" s="1"/>
  <c r="T56" i="10"/>
  <c r="U56" i="10" s="1"/>
  <c r="T48" i="10"/>
  <c r="U48" i="10" s="1"/>
  <c r="T40" i="10"/>
  <c r="U40" i="10" s="1"/>
  <c r="U291" i="10"/>
  <c r="T282" i="10"/>
  <c r="U282" i="10" s="1"/>
  <c r="T250" i="10"/>
  <c r="U250" i="10" s="1"/>
  <c r="T218" i="10"/>
  <c r="U218" i="10" s="1"/>
  <c r="T186" i="10"/>
  <c r="U186" i="10" s="1"/>
  <c r="T162" i="10"/>
  <c r="U162" i="10" s="1"/>
  <c r="T138" i="10"/>
  <c r="U138" i="10" s="1"/>
  <c r="T295" i="10"/>
  <c r="U295" i="10" s="1"/>
  <c r="T287" i="10"/>
  <c r="U287" i="10" s="1"/>
  <c r="T279" i="10"/>
  <c r="U279" i="10" s="1"/>
  <c r="T271" i="10"/>
  <c r="U271" i="10" s="1"/>
  <c r="T263" i="10"/>
  <c r="U263" i="10" s="1"/>
  <c r="T255" i="10"/>
  <c r="U255" i="10" s="1"/>
  <c r="T247" i="10"/>
  <c r="U247" i="10" s="1"/>
  <c r="T239" i="10"/>
  <c r="U239" i="10" s="1"/>
  <c r="T231" i="10"/>
  <c r="U231" i="10" s="1"/>
  <c r="T223" i="10"/>
  <c r="U223" i="10" s="1"/>
  <c r="T215" i="10"/>
  <c r="U215" i="10" s="1"/>
  <c r="T207" i="10"/>
  <c r="U207" i="10" s="1"/>
  <c r="T199" i="10"/>
  <c r="U199" i="10" s="1"/>
  <c r="T191" i="10"/>
  <c r="U191" i="10" s="1"/>
  <c r="T183" i="10"/>
  <c r="U183" i="10" s="1"/>
  <c r="T175" i="10"/>
  <c r="U175" i="10" s="1"/>
  <c r="T167" i="10"/>
  <c r="U167" i="10" s="1"/>
  <c r="T159" i="10"/>
  <c r="U159" i="10" s="1"/>
  <c r="T151" i="10"/>
  <c r="U151" i="10" s="1"/>
  <c r="T143" i="10"/>
  <c r="U143" i="10" s="1"/>
  <c r="T135" i="10"/>
  <c r="U135" i="10" s="1"/>
  <c r="T127" i="10"/>
  <c r="U127" i="10" s="1"/>
  <c r="T119" i="10"/>
  <c r="U119" i="10" s="1"/>
  <c r="T111" i="10"/>
  <c r="U111" i="10" s="1"/>
  <c r="T103" i="10"/>
  <c r="U103" i="10" s="1"/>
  <c r="T95" i="10"/>
  <c r="U95" i="10" s="1"/>
  <c r="T87" i="10"/>
  <c r="U87" i="10" s="1"/>
  <c r="T79" i="10"/>
  <c r="U79" i="10" s="1"/>
  <c r="T71" i="10"/>
  <c r="U71" i="10" s="1"/>
  <c r="T63" i="10"/>
  <c r="U63" i="10" s="1"/>
  <c r="T55" i="10"/>
  <c r="U55" i="10" s="1"/>
  <c r="T47" i="10"/>
  <c r="U47" i="10" s="1"/>
  <c r="T39" i="10"/>
  <c r="U39" i="10" s="1"/>
  <c r="U23" i="10"/>
  <c r="U15" i="10"/>
  <c r="T2" i="10"/>
  <c r="U2" i="10" s="1"/>
  <c r="T294" i="10"/>
  <c r="U294" i="10" s="1"/>
  <c r="T286" i="10"/>
  <c r="U286" i="10" s="1"/>
  <c r="T278" i="10"/>
  <c r="U278" i="10" s="1"/>
  <c r="T270" i="10"/>
  <c r="U270" i="10" s="1"/>
  <c r="T262" i="10"/>
  <c r="U262" i="10" s="1"/>
  <c r="T254" i="10"/>
  <c r="U254" i="10" s="1"/>
  <c r="T246" i="10"/>
  <c r="U246" i="10" s="1"/>
  <c r="T238" i="10"/>
  <c r="U238" i="10" s="1"/>
  <c r="T230" i="10"/>
  <c r="U230" i="10" s="1"/>
  <c r="T222" i="10"/>
  <c r="U222" i="10" s="1"/>
  <c r="T214" i="10"/>
  <c r="U214" i="10" s="1"/>
  <c r="T206" i="10"/>
  <c r="U206" i="10" s="1"/>
  <c r="T198" i="10"/>
  <c r="U198" i="10" s="1"/>
  <c r="T190" i="10"/>
  <c r="U190" i="10" s="1"/>
  <c r="T182" i="10"/>
  <c r="U182" i="10" s="1"/>
  <c r="T174" i="10"/>
  <c r="U174" i="10" s="1"/>
  <c r="T166" i="10"/>
  <c r="U166" i="10" s="1"/>
  <c r="T158" i="10"/>
  <c r="U158" i="10" s="1"/>
  <c r="T150" i="10"/>
  <c r="U150" i="10" s="1"/>
  <c r="T142" i="10"/>
  <c r="U142" i="10" s="1"/>
  <c r="T134" i="10"/>
  <c r="U134" i="10" s="1"/>
  <c r="T126" i="10"/>
  <c r="U126" i="10" s="1"/>
  <c r="T118" i="10"/>
  <c r="U118" i="10" s="1"/>
  <c r="T110" i="10"/>
  <c r="U110" i="10" s="1"/>
  <c r="T102" i="10"/>
  <c r="U102" i="10" s="1"/>
  <c r="T94" i="10"/>
  <c r="U94" i="10" s="1"/>
  <c r="T86" i="10"/>
  <c r="U86" i="10" s="1"/>
  <c r="T78" i="10"/>
  <c r="U78" i="10" s="1"/>
  <c r="T70" i="10"/>
  <c r="U70" i="10" s="1"/>
  <c r="T62" i="10"/>
  <c r="U62" i="10" s="1"/>
  <c r="T54" i="10"/>
  <c r="U54" i="10" s="1"/>
  <c r="T46" i="10"/>
  <c r="U46" i="10" s="1"/>
  <c r="T38" i="10"/>
  <c r="U38" i="10" s="1"/>
  <c r="T30" i="10"/>
  <c r="U30" i="10" s="1"/>
  <c r="T22" i="10"/>
  <c r="U22" i="10" s="1"/>
  <c r="T14" i="10"/>
  <c r="U14" i="10" s="1"/>
  <c r="T6" i="10"/>
  <c r="U6" i="10" s="1"/>
  <c r="T293" i="10"/>
  <c r="U293" i="10" s="1"/>
  <c r="T285" i="10"/>
  <c r="U285" i="10" s="1"/>
  <c r="T277" i="10"/>
  <c r="U277" i="10" s="1"/>
  <c r="T269" i="10"/>
  <c r="U269" i="10" s="1"/>
  <c r="T261" i="10"/>
  <c r="U261" i="10" s="1"/>
  <c r="T253" i="10"/>
  <c r="U253" i="10" s="1"/>
  <c r="T245" i="10"/>
  <c r="U245" i="10" s="1"/>
  <c r="T237" i="10"/>
  <c r="U237" i="10" s="1"/>
  <c r="T229" i="10"/>
  <c r="U229" i="10" s="1"/>
  <c r="T221" i="10"/>
  <c r="U221" i="10" s="1"/>
  <c r="T213" i="10"/>
  <c r="U213" i="10" s="1"/>
  <c r="T205" i="10"/>
  <c r="U205" i="10" s="1"/>
  <c r="T197" i="10"/>
  <c r="U197" i="10" s="1"/>
  <c r="T189" i="10"/>
  <c r="U189" i="10" s="1"/>
  <c r="T181" i="10"/>
  <c r="U181" i="10" s="1"/>
  <c r="T173" i="10"/>
  <c r="U173" i="10" s="1"/>
  <c r="T165" i="10"/>
  <c r="U165" i="10" s="1"/>
  <c r="T157" i="10"/>
  <c r="U157" i="10" s="1"/>
  <c r="T149" i="10"/>
  <c r="U149" i="10" s="1"/>
  <c r="T141" i="10"/>
  <c r="U141" i="10" s="1"/>
  <c r="T133" i="10"/>
  <c r="U133" i="10" s="1"/>
  <c r="T125" i="10"/>
  <c r="U125" i="10" s="1"/>
  <c r="T117" i="10"/>
  <c r="U117" i="10" s="1"/>
  <c r="T109" i="10"/>
  <c r="U109" i="10" s="1"/>
  <c r="T101" i="10"/>
  <c r="U101" i="10" s="1"/>
  <c r="T93" i="10"/>
  <c r="U93" i="10" s="1"/>
  <c r="T85" i="10"/>
  <c r="U85" i="10" s="1"/>
  <c r="T77" i="10"/>
  <c r="U77" i="10" s="1"/>
  <c r="T69" i="10"/>
  <c r="U69" i="10" s="1"/>
  <c r="T61" i="10"/>
  <c r="U61" i="10" s="1"/>
  <c r="T53" i="10"/>
  <c r="U53" i="10" s="1"/>
  <c r="T45" i="10"/>
  <c r="U45" i="10" s="1"/>
  <c r="T37" i="10"/>
  <c r="U37" i="10" s="1"/>
  <c r="T29" i="10"/>
  <c r="U29" i="10" s="1"/>
  <c r="T21" i="10"/>
  <c r="U21" i="10" s="1"/>
  <c r="T13" i="10"/>
  <c r="U13" i="10" s="1"/>
  <c r="T5" i="10"/>
  <c r="U5" i="10" s="1"/>
  <c r="T289" i="10"/>
  <c r="U289" i="10" s="1"/>
  <c r="T281" i="10"/>
  <c r="U281" i="10" s="1"/>
  <c r="T273" i="10"/>
  <c r="U273" i="10" s="1"/>
  <c r="T265" i="10"/>
  <c r="U265" i="10" s="1"/>
  <c r="T257" i="10"/>
  <c r="U257" i="10" s="1"/>
  <c r="T249" i="10"/>
  <c r="U249" i="10" s="1"/>
  <c r="T241" i="10"/>
  <c r="U241" i="10" s="1"/>
  <c r="T233" i="10"/>
  <c r="U233" i="10" s="1"/>
  <c r="T225" i="10"/>
  <c r="U225" i="10" s="1"/>
  <c r="T217" i="10"/>
  <c r="U217" i="10" s="1"/>
  <c r="T209" i="10"/>
  <c r="U209" i="10" s="1"/>
  <c r="T201" i="10"/>
  <c r="U201" i="10" s="1"/>
  <c r="T193" i="10"/>
  <c r="U193" i="10" s="1"/>
  <c r="T185" i="10"/>
  <c r="U185" i="10" s="1"/>
  <c r="T177" i="10"/>
  <c r="U177" i="10" s="1"/>
  <c r="T169" i="10"/>
  <c r="U169" i="10" s="1"/>
  <c r="T161" i="10"/>
  <c r="U161" i="10" s="1"/>
  <c r="T153" i="10"/>
  <c r="U153" i="10" s="1"/>
  <c r="T145" i="10"/>
  <c r="U145" i="10" s="1"/>
  <c r="T137" i="10"/>
  <c r="U137" i="10" s="1"/>
  <c r="T129" i="10"/>
  <c r="U129" i="10" s="1"/>
  <c r="T121" i="10"/>
  <c r="U121" i="10" s="1"/>
  <c r="T113" i="10"/>
  <c r="U113" i="10" s="1"/>
  <c r="T105" i="10"/>
  <c r="U105" i="10" s="1"/>
  <c r="T97" i="10"/>
  <c r="U97" i="10" s="1"/>
  <c r="T89" i="10"/>
  <c r="U89" i="10" s="1"/>
  <c r="T81" i="10"/>
  <c r="U81" i="10" s="1"/>
  <c r="T73" i="10"/>
  <c r="U73" i="10" s="1"/>
  <c r="T65" i="10"/>
  <c r="U65" i="10" s="1"/>
  <c r="T57" i="10"/>
  <c r="U57" i="10" s="1"/>
  <c r="T49" i="10"/>
  <c r="U49" i="10" s="1"/>
  <c r="T41" i="10"/>
  <c r="U41" i="10" s="1"/>
  <c r="T33" i="10"/>
  <c r="U33" i="10" s="1"/>
  <c r="T25" i="10"/>
  <c r="U25" i="10" s="1"/>
  <c r="T17" i="10"/>
  <c r="U17" i="10" s="1"/>
  <c r="T9" i="10"/>
  <c r="U9" i="10" s="1"/>
  <c r="T292" i="10"/>
  <c r="U292" i="10" s="1"/>
  <c r="T284" i="10"/>
  <c r="U284" i="10" s="1"/>
  <c r="T276" i="10"/>
  <c r="U276" i="10" s="1"/>
  <c r="T268" i="10"/>
  <c r="U268" i="10" s="1"/>
  <c r="T260" i="10"/>
  <c r="U260" i="10" s="1"/>
  <c r="T252" i="10"/>
  <c r="U252" i="10" s="1"/>
  <c r="T244" i="10"/>
  <c r="U244" i="10" s="1"/>
  <c r="T236" i="10"/>
  <c r="U236" i="10" s="1"/>
  <c r="T228" i="10"/>
  <c r="U228" i="10" s="1"/>
  <c r="T220" i="10"/>
  <c r="U220" i="10" s="1"/>
  <c r="T212" i="10"/>
  <c r="U212" i="10" s="1"/>
  <c r="T204" i="10"/>
  <c r="U204" i="10" s="1"/>
  <c r="T196" i="10"/>
  <c r="U196" i="10" s="1"/>
  <c r="T188" i="10"/>
  <c r="U188" i="10" s="1"/>
  <c r="T180" i="10"/>
  <c r="U180" i="10" s="1"/>
  <c r="T172" i="10"/>
  <c r="U172" i="10" s="1"/>
  <c r="T164" i="10"/>
  <c r="U164" i="10" s="1"/>
  <c r="T156" i="10"/>
  <c r="U156" i="10" s="1"/>
  <c r="T148" i="10"/>
  <c r="U148" i="10" s="1"/>
  <c r="T140" i="10"/>
  <c r="U140" i="10" s="1"/>
  <c r="T132" i="10"/>
  <c r="U132" i="10" s="1"/>
  <c r="T124" i="10"/>
  <c r="U124" i="10" s="1"/>
  <c r="T116" i="10"/>
  <c r="U116" i="10" s="1"/>
  <c r="T108" i="10"/>
  <c r="U108" i="10" s="1"/>
  <c r="T100" i="10"/>
  <c r="U100" i="10" s="1"/>
  <c r="T92" i="10"/>
  <c r="U92" i="10" s="1"/>
  <c r="T84" i="10"/>
  <c r="U84" i="10" s="1"/>
  <c r="T76" i="10"/>
  <c r="U76" i="10" s="1"/>
  <c r="T68" i="10"/>
  <c r="U68" i="10" s="1"/>
  <c r="T60" i="10"/>
  <c r="U60" i="10" s="1"/>
  <c r="T52" i="10"/>
  <c r="U52" i="10" s="1"/>
  <c r="T44" i="10"/>
  <c r="U44" i="10" s="1"/>
  <c r="T36" i="10"/>
  <c r="U36" i="10" s="1"/>
  <c r="T28" i="10"/>
  <c r="U28" i="10" s="1"/>
  <c r="T20" i="10"/>
  <c r="U20" i="10" s="1"/>
  <c r="T12" i="10"/>
  <c r="U12" i="10" s="1"/>
  <c r="T4" i="10"/>
  <c r="U4" i="10" s="1"/>
  <c r="N42" i="3"/>
  <c r="N39" i="3"/>
  <c r="N40" i="3"/>
  <c r="N41" i="3"/>
  <c r="M34" i="3"/>
  <c r="N29" i="3" s="1"/>
  <c r="M33" i="3"/>
  <c r="N33" i="3" l="1"/>
  <c r="N32" i="3"/>
  <c r="N31" i="3"/>
  <c r="N30" i="3"/>
</calcChain>
</file>

<file path=xl/sharedStrings.xml><?xml version="1.0" encoding="utf-8"?>
<sst xmlns="http://schemas.openxmlformats.org/spreadsheetml/2006/main" count="1970" uniqueCount="370">
  <si>
    <t>Paleta de Cores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</si>
  <si>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</si>
  <si>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</si>
  <si>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</si>
  <si>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</si>
  <si>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</si>
  <si>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</si>
  <si>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</si>
  <si>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</si>
  <si>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</si>
  <si>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</si>
  <si>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</si>
  <si>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</si>
  <si>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</si>
  <si>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</si>
  <si>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</si>
  <si>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</si>
  <si>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</si>
  <si>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</si>
  <si>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</si>
  <si>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</si>
  <si>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</si>
  <si>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</si>
  <si>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</si>
  <si>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</si>
  <si>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</si>
  <si>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</si>
  <si>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</si>
  <si>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</si>
  <si>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</si>
  <si>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</si>
  <si>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</si>
  <si>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</si>
  <si>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</si>
  <si>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</si>
  <si>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</si>
  <si>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</si>
  <si>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</si>
  <si>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</si>
  <si>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</si>
  <si>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</si>
  <si>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</si>
  <si>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</si>
  <si>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</si>
  <si>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</si>
  <si>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</si>
  <si>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</si>
  <si>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</si>
  <si>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</si>
  <si>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</si>
  <si>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</si>
  <si>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</si>
  <si>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</si>
  <si>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</si>
  <si>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</si>
  <si>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</si>
  <si>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</si>
  <si>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</si>
  <si>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</si>
  <si>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</si>
  <si>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</si>
  <si>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</si>
  <si>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</si>
  <si>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</si>
  <si>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</si>
  <si>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</si>
  <si>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</si>
  <si>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</si>
  <si>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</si>
  <si>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</si>
  <si>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</si>
  <si>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</si>
  <si>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</si>
  <si>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</si>
  <si>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</si>
  <si>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</si>
  <si>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</si>
  <si>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</si>
  <si>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</si>
  <si>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</si>
  <si>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</si>
  <si>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</si>
  <si>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</si>
  <si>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</si>
  <si>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</si>
  <si>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</si>
  <si>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</si>
  <si>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</si>
  <si>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</si>
  <si>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</si>
  <si>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</si>
  <si>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</si>
  <si>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</si>
  <si>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</si>
  <si>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</si>
  <si>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</si>
  <si>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</si>
  <si>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</si>
  <si>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</si>
  <si>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</si>
  <si>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</si>
  <si>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</si>
  <si>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</si>
  <si>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</si>
  <si>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</si>
  <si>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</si>
  <si>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</si>
  <si>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</si>
  <si>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</si>
  <si>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</si>
  <si>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</si>
  <si>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</si>
  <si>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</si>
  <si>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</si>
  <si>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</si>
  <si>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</si>
  <si>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</si>
  <si>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</si>
  <si>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</si>
  <si>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</si>
  <si>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</si>
  <si>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</si>
  <si>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</si>
  <si>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</si>
  <si>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</si>
  <si>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</si>
  <si>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</si>
  <si>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</si>
  <si>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</si>
  <si>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</si>
  <si>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</si>
  <si>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</si>
  <si>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</si>
  <si>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</si>
  <si>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</si>
  <si>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</si>
  <si>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</si>
  <si>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</si>
  <si>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</si>
  <si>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</si>
  <si>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</si>
  <si>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</si>
  <si>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</si>
  <si>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</si>
  <si>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</si>
  <si>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</si>
  <si>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</si>
  <si>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</si>
  <si>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</si>
  <si>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</si>
  <si>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</si>
  <si>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</si>
  <si>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</si>
  <si>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</si>
  <si>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</si>
  <si>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</si>
  <si>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</si>
  <si>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</si>
  <si>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</si>
  <si>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</si>
  <si>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</si>
  <si>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</si>
  <si>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</si>
  <si>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</si>
  <si>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</si>
  <si>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</si>
  <si>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</si>
  <si>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</si>
  <si>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</si>
  <si>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</si>
  <si>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</si>
  <si>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</si>
  <si>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</si>
  <si>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</si>
  <si>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</si>
  <si>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</si>
  <si>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</si>
  <si>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</si>
  <si>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</si>
  <si>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</si>
  <si>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</si>
  <si>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</si>
  <si>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</si>
  <si>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</si>
  <si>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</si>
  <si>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</si>
  <si>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</si>
  <si>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</si>
  <si>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</si>
  <si>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</si>
  <si>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</si>
  <si>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</si>
  <si>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</si>
  <si>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</si>
  <si>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</si>
  <si>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</si>
  <si>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</si>
  <si>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</si>
  <si>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</si>
  <si>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</si>
  <si>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</si>
  <si>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</si>
  <si>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</si>
  <si>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</si>
  <si>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</si>
  <si>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</si>
  <si>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</si>
  <si>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</si>
  <si>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</si>
  <si>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</si>
  <si>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</si>
  <si>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</si>
  <si>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</si>
  <si>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</si>
  <si>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</si>
  <si>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</si>
  <si>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</si>
  <si>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</si>
  <si>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</si>
  <si>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</si>
  <si>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</si>
  <si>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</si>
  <si>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</si>
  <si>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</si>
  <si>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</si>
  <si>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</si>
  <si>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</si>
  <si>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</si>
  <si>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</si>
  <si>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</si>
  <si>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</si>
  <si>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</si>
  <si>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</si>
  <si>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</si>
  <si>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</si>
  <si>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</si>
  <si>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</si>
  <si>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</si>
  <si>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</si>
  <si>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</si>
  <si>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</si>
  <si>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</si>
  <si>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</si>
  <si>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</si>
  <si>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</si>
  <si>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</si>
  <si>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</si>
  <si>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</si>
  <si>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</si>
  <si>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</si>
  <si>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</si>
  <si>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</si>
  <si>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</si>
  <si>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</si>
  <si>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</si>
  <si>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</si>
  <si>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</si>
  <si>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</si>
  <si>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</si>
  <si>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</si>
  <si>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</si>
  <si>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</si>
  <si>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</si>
  <si>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</si>
  <si>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</si>
  <si>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</si>
  <si>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</si>
  <si>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</si>
  <si>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</si>
  <si>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</si>
  <si>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</si>
  <si>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</si>
  <si>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</si>
  <si>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</si>
  <si>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</si>
  <si>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</si>
  <si>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</si>
  <si>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</si>
  <si>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</si>
  <si>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</si>
  <si>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</si>
  <si>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</si>
  <si>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</si>
  <si>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</si>
  <si>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</si>
  <si>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</si>
  <si>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</si>
  <si>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</si>
  <si>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</si>
  <si>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</si>
  <si>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</si>
  <si>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</si>
  <si>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</si>
  <si>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</si>
  <si>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</si>
  <si>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</si>
  <si>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</si>
  <si>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</si>
  <si>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</si>
  <si>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</si>
  <si>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</si>
  <si>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</si>
  <si>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</si>
  <si>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Subscription Price</t>
  </si>
  <si>
    <t>1A3312</t>
  </si>
  <si>
    <t>Perguntas de negócio a serem respondida:</t>
  </si>
  <si>
    <t>Qual o faturamento do total de vendas anuais por renovação e não renovação?</t>
  </si>
  <si>
    <t>Soma de Total Value</t>
  </si>
  <si>
    <t>Soma de Minecraft Season Pass Price</t>
  </si>
  <si>
    <t>Contagem de Plan</t>
  </si>
  <si>
    <t>Rótulos de Linha</t>
  </si>
  <si>
    <t>Total Geral</t>
  </si>
  <si>
    <t>(Tudo)</t>
  </si>
  <si>
    <t>Qual o faturamento do total de vendas de planos anuais?</t>
  </si>
  <si>
    <t>Contagem de EA Play Season Pass</t>
  </si>
  <si>
    <t>Contagem de Minecraft Season Pass</t>
  </si>
  <si>
    <t>Soma de EA Play Season Pass
Price</t>
  </si>
  <si>
    <t>Qual o faturamento do total de vendas de assinaturar Minecraft Season Pass?</t>
  </si>
  <si>
    <t>Qual o faturamento do total de vendas de assinaturar EA Play Season Pass?</t>
  </si>
  <si>
    <t>Quantas assinaturas de EA Play Season Pass existem?</t>
  </si>
  <si>
    <t>Quantas assinaturas de Minecraft Season Pass existem?</t>
  </si>
  <si>
    <t>Qual o percentual do total de vendas de assinaturas Minecraft Season Pass sobre o total de vendas?</t>
  </si>
  <si>
    <t xml:space="preserve"> </t>
  </si>
  <si>
    <t>9EF04E</t>
  </si>
  <si>
    <t>000000</t>
  </si>
  <si>
    <t>Qual o ticket médio por plano?</t>
  </si>
  <si>
    <t>E8E6E10</t>
  </si>
  <si>
    <t>107C11</t>
  </si>
  <si>
    <t>Qual o percentual de desconto sobre o faturamento bruto?</t>
  </si>
  <si>
    <t>jan</t>
  </si>
  <si>
    <t>mar</t>
  </si>
  <si>
    <t>abr</t>
  </si>
  <si>
    <t>mai</t>
  </si>
  <si>
    <t>jun</t>
  </si>
  <si>
    <t>jul</t>
  </si>
  <si>
    <t>ago</t>
  </si>
  <si>
    <t>Soma de Coupon Value</t>
  </si>
  <si>
    <t>Qual evolução do faturamento do total de vendas de planos anuais?</t>
  </si>
  <si>
    <t>Valores</t>
  </si>
  <si>
    <t>Soma de Subscription Price</t>
  </si>
  <si>
    <t xml:space="preserve">Minecraft Season </t>
  </si>
  <si>
    <t>Total</t>
  </si>
  <si>
    <t xml:space="preserve">EA Play Season </t>
  </si>
  <si>
    <t xml:space="preserve">Como está distribuido o faturamento? </t>
  </si>
  <si>
    <t>Coupon Value 2</t>
  </si>
  <si>
    <t>Gross revenue</t>
  </si>
  <si>
    <t>Qual plano esta recebendo mais descontos?</t>
  </si>
  <si>
    <t>Qual a taxa de renovação automática?</t>
  </si>
  <si>
    <t>XBOX GAME PASS SUBSCRIPTIONS SALES</t>
  </si>
  <si>
    <t>Qual o valor médio de desconto fornecido?</t>
  </si>
  <si>
    <t>Faturamento</t>
  </si>
  <si>
    <t>Qual o ticket médiogeral?</t>
  </si>
  <si>
    <t>(Vários itens)</t>
  </si>
  <si>
    <t>fev</t>
  </si>
  <si>
    <t>Como esta distribuida a base de assinantes por plano + season pass?</t>
  </si>
  <si>
    <t>Minecraft</t>
  </si>
  <si>
    <t>EA Game</t>
  </si>
  <si>
    <t>No Extras</t>
  </si>
  <si>
    <t>EA Play + Minecraft</t>
  </si>
  <si>
    <t xml:space="preserve">EA Play </t>
  </si>
  <si>
    <t>Plan2</t>
  </si>
  <si>
    <t>EA Play Season Pass2</t>
  </si>
  <si>
    <t>Minecraft Season Pass2</t>
  </si>
  <si>
    <t>output2</t>
  </si>
  <si>
    <t>soma</t>
  </si>
  <si>
    <t>Pack</t>
  </si>
  <si>
    <t xml:space="preserve"> Season Pass</t>
  </si>
  <si>
    <t>Tabelas</t>
  </si>
  <si>
    <t>Contagem de Total Value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</si>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</sst>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d/m;@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4"/>
      <color rgb="FF1A3312"/>
      <name val="Segoe UI Bold"/>
    </font>
    <font>
      <sz val="24"/>
      <color rgb="FF1A3312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1F1F1F"/>
      <name val="Arial"/>
      <family val="2"/>
    </font>
    <font>
      <sz val="10.5"/>
      <color rgb="FF7F7F7F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FFCC"/>
      </patternFill>
    </fill>
    <fill>
      <patternFill patternType="solid">
        <fgColor rgb="FF107C10"/>
        <bgColor indexed="64"/>
      </patternFill>
    </fill>
    <fill>
      <patternFill patternType="solid">
        <fgColor rgb="FF1A3312"/>
        <bgColor indexed="64"/>
      </patternFill>
    </fill>
    <fill>
      <patternFill patternType="solid">
        <fgColor rgb="FFEB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9EF04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8E8E8"/>
        <bgColor rgb="FF000000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E0E0E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ck">
        <color rgb="FF1A331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6"/>
      </bottom>
      <diagonal/>
    </border>
  </borders>
  <cellStyleXfs count="6">
    <xf numFmtId="0" fontId="0" fillId="0" borderId="0"/>
    <xf numFmtId="0" fontId="2" fillId="0" borderId="1" applyNumberFormat="0" applyFill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4" borderId="2" applyNumberFormat="0" applyFont="0" applyAlignment="0" applyProtection="0"/>
    <xf numFmtId="0" fontId="1" fillId="14" borderId="0" applyNumberFormat="0" applyBorder="0" applyAlignment="0" applyProtection="0"/>
  </cellStyleXfs>
  <cellXfs count="49">
    <xf numFmtId="0" fontId="0" fillId="0" borderId="0" xfId="0"/>
    <xf numFmtId="0" fontId="2" fillId="0" borderId="1" xfId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9" borderId="0" xfId="0" applyFill="1"/>
    <xf numFmtId="164" fontId="0" fillId="0" borderId="0" xfId="0" applyNumberFormat="1"/>
    <xf numFmtId="164" fontId="0" fillId="0" borderId="0" xfId="0" pivotButton="1" applyNumberFormat="1"/>
    <xf numFmtId="164" fontId="0" fillId="0" borderId="0" xfId="2" applyNumberFormat="1" applyFont="1"/>
    <xf numFmtId="0" fontId="0" fillId="10" borderId="0" xfId="0" applyFill="1"/>
    <xf numFmtId="0" fontId="0" fillId="11" borderId="0" xfId="0" applyFill="1"/>
    <xf numFmtId="10" fontId="0" fillId="0" borderId="0" xfId="3" applyNumberFormat="1" applyFont="1"/>
    <xf numFmtId="0" fontId="0" fillId="12" borderId="0" xfId="0" applyFill="1"/>
    <xf numFmtId="0" fontId="0" fillId="12" borderId="0" xfId="0" applyFill="1" applyAlignment="1">
      <alignment horizontal="left"/>
    </xf>
    <xf numFmtId="164" fontId="0" fillId="12" borderId="0" xfId="0" applyNumberFormat="1" applyFill="1"/>
    <xf numFmtId="165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166" fontId="0" fillId="0" borderId="0" xfId="3" applyNumberFormat="1" applyFont="1"/>
    <xf numFmtId="0" fontId="4" fillId="8" borderId="6" xfId="0" applyFont="1" applyFill="1" applyBorder="1" applyAlignment="1">
      <alignment horizontal="left"/>
    </xf>
    <xf numFmtId="0" fontId="6" fillId="9" borderId="7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/>
    </xf>
    <xf numFmtId="0" fontId="8" fillId="13" borderId="0" xfId="0" applyFont="1" applyFill="1" applyAlignment="1">
      <alignment horizontal="left"/>
    </xf>
    <xf numFmtId="164" fontId="0" fillId="0" borderId="0" xfId="3" applyNumberFormat="1" applyFont="1"/>
    <xf numFmtId="0" fontId="0" fillId="4" borderId="3" xfId="4" applyFont="1" applyBorder="1" applyAlignment="1">
      <alignment horizontal="center" vertical="center"/>
    </xf>
    <xf numFmtId="0" fontId="0" fillId="4" borderId="4" xfId="4" applyFont="1" applyBorder="1" applyAlignment="1">
      <alignment horizontal="center" vertical="center"/>
    </xf>
    <xf numFmtId="0" fontId="0" fillId="4" borderId="5" xfId="4" applyFont="1" applyBorder="1" applyAlignment="1">
      <alignment horizontal="center" vertical="center"/>
    </xf>
    <xf numFmtId="0" fontId="0" fillId="0" borderId="0" xfId="0" applyNumberFormat="1"/>
    <xf numFmtId="0" fontId="9" fillId="0" borderId="0" xfId="0" applyFont="1"/>
    <xf numFmtId="1" fontId="0" fillId="0" borderId="0" xfId="0" applyNumberFormat="1"/>
    <xf numFmtId="0" fontId="0" fillId="0" borderId="0" xfId="0" applyFont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44" fontId="1" fillId="14" borderId="8" xfId="5" applyNumberFormat="1" applyBorder="1" applyAlignment="1">
      <alignment horizontal="center" vertical="center" wrapText="1"/>
    </xf>
    <xf numFmtId="1" fontId="1" fillId="14" borderId="8" xfId="5" applyNumberFormat="1" applyBorder="1" applyAlignment="1">
      <alignment horizontal="center" vertical="center" wrapText="1"/>
    </xf>
    <xf numFmtId="0" fontId="1" fillId="14" borderId="8" xfId="5" applyBorder="1" applyAlignment="1">
      <alignment horizontal="center" vertical="center" wrapText="1"/>
    </xf>
    <xf numFmtId="44" fontId="1" fillId="14" borderId="0" xfId="5" applyNumberFormat="1" applyAlignment="1">
      <alignment horizontal="center" vertical="center" wrapText="1"/>
    </xf>
    <xf numFmtId="1" fontId="1" fillId="14" borderId="0" xfId="5" applyNumberFormat="1" applyAlignment="1">
      <alignment horizontal="center" vertical="center" wrapText="1"/>
    </xf>
    <xf numFmtId="0" fontId="1" fillId="14" borderId="0" xfId="5" applyNumberFormat="1" applyAlignment="1">
      <alignment horizontal="center" vertical="center" wrapText="1"/>
    </xf>
    <xf numFmtId="0" fontId="0" fillId="15" borderId="0" xfId="0" applyFill="1" applyAlignment="1">
      <alignment horizontal="left"/>
    </xf>
    <xf numFmtId="0" fontId="0" fillId="15" borderId="0" xfId="0" applyFill="1"/>
    <xf numFmtId="0" fontId="10" fillId="15" borderId="0" xfId="0" applyFont="1" applyFill="1" applyAlignment="1">
      <alignment horizontal="left" vertical="center"/>
    </xf>
  </cellXfs>
  <cellStyles count="6">
    <cellStyle name="20% - Ênfase2" xfId="5" builtinId="34"/>
    <cellStyle name="Moeda" xfId="2" builtinId="4"/>
    <cellStyle name="Normal" xfId="0" builtinId="0"/>
    <cellStyle name="Nota" xfId="4" builtinId="10"/>
    <cellStyle name="Porcentagem" xfId="3" builtinId="5"/>
    <cellStyle name="Título 1" xfId="1" builtinId="16"/>
  </cellStyles>
  <dxfs count="69">
    <dxf>
      <numFmt numFmtId="19" formatCode="dd/mm/yy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top style="thin">
          <color rgb="FF196B2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1" formatCode="0"/>
      <alignment horizontal="center" vertical="center" textRotation="0" wrapText="1" indent="0" justifyLastLine="0" shrinkToFit="0" readingOrder="0"/>
    </dxf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border diagonalUp="0" diagonalDown="0">
        <left/>
        <right/>
        <top/>
        <bottom/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 patternType="none">
          <fgColor auto="1"/>
          <bgColor auto="1"/>
        </patternFill>
      </fill>
      <border diagonalUp="0" diagonalDown="0">
        <left/>
        <right/>
        <top/>
        <bottom/>
        <vertical/>
        <horizontal/>
      </border>
    </dxf>
    <dxf>
      <fill>
        <patternFill>
          <fgColor rgb="FF1A3312"/>
          <bgColor rgb="FF1A3312"/>
        </patternFill>
      </fill>
      <border>
        <left/>
        <right/>
        <top/>
        <bottom/>
        <vertical/>
        <horizontal/>
      </border>
    </dxf>
    <dxf>
      <fill>
        <patternFill>
          <fgColor rgb="FF1A3312"/>
          <bgColor rgb="FF1A331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ill>
        <patternFill>
          <fgColor theme="1"/>
          <bgColor theme="1"/>
        </patternFill>
      </fill>
      <border>
        <left/>
        <right/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ont>
        <color theme="1"/>
      </font>
      <fill>
        <patternFill>
          <fgColor theme="1"/>
          <bgColor theme="1"/>
        </patternFill>
      </fill>
      <border diagonalUp="0">
        <left/>
        <right/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ill>
        <patternFill>
          <bgColor rgb="FF000000"/>
        </patternFill>
      </fill>
    </dxf>
    <dxf>
      <font>
        <b/>
        <color theme="1"/>
      </font>
      <border>
        <bottom/>
        <vertical/>
        <horizontal/>
      </border>
    </dxf>
    <dxf>
      <fill>
        <patternFill>
          <fgColor rgb="FF107C10"/>
          <bgColor rgb="FF107C10"/>
        </patternFill>
      </fill>
      <border diagonalUp="0">
        <left/>
        <right/>
        <top/>
        <bottom/>
        <vertical/>
        <horizontal/>
      </border>
    </dxf>
    <dxf>
      <font>
        <b/>
        <color theme="1"/>
      </font>
      <border>
        <bottom/>
        <vertical/>
        <horizontal/>
      </border>
    </dxf>
    <dxf>
      <font>
        <color theme="1"/>
      </font>
      <fill>
        <patternFill>
          <fgColor rgb="FF1A3312"/>
          <bgColor rgb="FF1A3312"/>
        </patternFill>
      </fill>
      <border diagonalUp="0">
        <left/>
        <right/>
        <top/>
        <bottom/>
        <vertical/>
        <horizontal/>
      </border>
    </dxf>
    <dxf>
      <fill>
        <patternFill>
          <fgColor rgb="FF000000"/>
          <bgColor theme="1"/>
        </patternFill>
      </fill>
      <border>
        <left/>
        <right/>
        <top/>
        <bottom/>
        <vertical/>
        <horizontal/>
      </border>
    </dxf>
    <dxf>
      <font>
        <color rgb="FF9EF04E"/>
      </font>
    </dxf>
    <dxf>
      <font>
        <color theme="0"/>
      </font>
      <fill>
        <patternFill>
          <fgColor theme="1"/>
        </patternFill>
      </fill>
    </dxf>
    <dxf>
      <font>
        <color theme="1"/>
      </font>
      <fill>
        <patternFill>
          <fgColor rgb="FF000000"/>
          <bgColor theme="0"/>
        </patternFill>
      </fill>
    </dxf>
    <dxf>
      <fill>
        <patternFill>
          <bgColor theme="1"/>
        </patternFill>
      </fill>
    </dxf>
    <dxf>
      <font>
        <b/>
        <i val="0"/>
        <color rgb="FF9EF04E"/>
      </font>
      <fill>
        <patternFill>
          <fgColor theme="1"/>
          <bgColor rgb="FF000000"/>
        </patternFill>
      </fill>
      <border>
        <bottom style="thin">
          <color theme="9"/>
        </bottom>
        <vertical/>
        <horizontal/>
      </border>
    </dxf>
    <dxf>
      <font>
        <b/>
        <i val="0"/>
        <u val="none"/>
        <color rgb="FF9EF04E"/>
      </font>
      <fill>
        <patternFill>
          <fgColor theme="1"/>
          <bgColor rgb="FFFFFFFF"/>
        </patternFill>
      </fill>
      <border diagonalUp="0" diagonalDown="0">
        <left/>
        <right/>
        <top/>
        <bottom/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fgColor rgb="FFE8E6E9"/>
          <bgColor rgb="FFE8E6E9"/>
        </patternFill>
      </fill>
      <border>
        <left/>
        <right/>
        <top/>
        <bottom/>
        <vertical/>
        <horizontal/>
      </border>
    </dxf>
    <dxf>
      <fill>
        <patternFill>
          <fgColor rgb="FFE8E6E9"/>
          <bgColor rgb="FFE8E6E9"/>
        </patternFill>
      </fill>
      <border>
        <left/>
        <right/>
        <top/>
        <bottom/>
        <vertical/>
        <horizontal/>
      </border>
    </dxf>
    <dxf>
      <fill>
        <patternFill>
          <fgColor rgb="FF1A3312"/>
          <bgColor rgb="FF1A3312"/>
        </patternFill>
      </fill>
      <border>
        <left/>
        <right/>
        <top/>
        <bottom/>
        <vertical/>
        <horizontal/>
      </border>
    </dxf>
    <dxf>
      <font>
        <u val="none"/>
        <color theme="0"/>
      </font>
      <fill>
        <patternFill>
          <fgColor rgb="FF1A3312"/>
          <bgColor rgb="FF1A3312"/>
        </patternFill>
      </fill>
      <border>
        <bottom/>
        <vertical/>
        <horizontal/>
      </border>
    </dxf>
    <dxf>
      <font>
        <u val="none"/>
        <color theme="0"/>
      </font>
      <fill>
        <patternFill patternType="solid">
          <fgColor rgb="FF1A3312"/>
          <bgColor rgb="FF1A3312"/>
        </patternFill>
      </fill>
      <border>
        <left/>
        <right/>
        <top/>
        <bottom/>
        <vertical/>
        <horizontal/>
      </border>
    </dxf>
    <dxf>
      <font>
        <color theme="1"/>
      </font>
      <fill>
        <patternFill>
          <fgColor theme="1"/>
          <bgColor theme="1"/>
        </patternFill>
      </fill>
      <border diagonalUp="0" diagonalDown="0">
        <left/>
        <right/>
        <top/>
        <bottom/>
        <vertical/>
        <horizontal/>
      </border>
    </dxf>
  </dxfs>
  <tableStyles count="16" defaultTableStyle="TableStyleMedium2" defaultPivotStyle="PivotStyleLight16">
    <tableStyle name="SlicerStyleDark3 2" pivot="0" table="0" count="9" xr9:uid="{BA3221CD-0BA3-1645-BB42-764987F8948C}">
      <tableStyleElement type="wholeTable" dxfId="68"/>
    </tableStyle>
    <tableStyle name="SlicerStyleDark3 3" pivot="0" table="0" count="10" xr9:uid="{A245D1B1-A740-7345-BA33-A59BE2DA25B8}">
      <tableStyleElement type="wholeTable" dxfId="67"/>
      <tableStyleElement type="headerRow" dxfId="66"/>
    </tableStyle>
    <tableStyle name="SlicerStyleDark6 2" pivot="0" table="0" count="9" xr9:uid="{673D13C4-3183-2A49-8ADA-2FEEAF655128}">
      <tableStyleElement type="wholeTable" dxfId="65"/>
    </tableStyle>
    <tableStyle name="SlicerStyleDark6 3" pivot="0" table="0" count="9" xr9:uid="{1D3D9386-B4D5-9E4C-AC07-9ACE7D2934EE}">
      <tableStyleElement type="wholeTable" dxfId="64"/>
    </tableStyle>
    <tableStyle name="SlicerStyleDark6 3 2" pivot="0" table="0" count="10" xr9:uid="{E8CD4CF1-49F6-AF4A-92F4-7B28A481DA9A}">
      <tableStyleElement type="wholeTable" dxfId="63"/>
      <tableStyleElement type="lastHeaderCell" dxfId="62"/>
    </tableStyle>
    <tableStyle name="SlicerStyleLight6 2" pivot="0" table="0" count="14" xr9:uid="{47930F10-B31D-C043-87B1-F1759141F415}">
      <tableStyleElement type="wholeTable" dxfId="61"/>
      <tableStyleElement type="headerRow" dxfId="60"/>
      <tableStyleElement type="totalRow" dxfId="59"/>
      <tableStyleElement type="firstColumnStripe" size="7" dxfId="58"/>
      <tableStyleElement type="secondColumnStripe" dxfId="57"/>
      <tableStyleElement type="firstHeaderCell" dxfId="56"/>
    </tableStyle>
    <tableStyle name="SlicerStyleLight6 2 2" pivot="0" table="0" count="9" xr9:uid="{6AAA102F-BB0D-6243-991D-ABD62C778DF4}">
      <tableStyleElement type="wholeTable" dxfId="55"/>
    </tableStyle>
    <tableStyle name="SlicerStyleLight6 3" pivot="0" table="0" count="10" xr9:uid="{A6ABC240-E2E8-F14C-B25E-0B20D7DE951F}">
      <tableStyleElement type="wholeTable" dxfId="54"/>
      <tableStyleElement type="headerRow" dxfId="53"/>
    </tableStyle>
    <tableStyle name="SlicerStyleLight6 3 2" pivot="0" table="0" count="10" xr9:uid="{E033DBDE-4E19-E346-981B-859358AAAEAB}">
      <tableStyleElement type="wholeTable" dxfId="52"/>
      <tableStyleElement type="headerRow" dxfId="51"/>
    </tableStyle>
    <tableStyle name="SlicerStyleLight6 3 2 2" pivot="0" table="0" count="10" xr9:uid="{6F0F426D-BF98-734A-B1C9-6AC96D588194}">
      <tableStyleElement type="wholeTable" dxfId="50"/>
      <tableStyleElement type="headerRow" dxfId="49"/>
    </tableStyle>
    <tableStyle name="SlicerStyleLight6 3 3" pivot="0" table="0" count="10" xr9:uid="{D22A774B-0A0D-E349-AD3A-9735796219F6}">
      <tableStyleElement type="wholeTable" dxfId="48"/>
      <tableStyleElement type="headerRow" dxfId="47"/>
    </tableStyle>
    <tableStyle name="SlicerStyleLight6 3 4" pivot="0" table="0" count="10" xr9:uid="{9638C313-D8D6-294A-8558-9AFA127DA43A}">
      <tableStyleElement type="wholeTable" dxfId="46"/>
      <tableStyleElement type="headerRow" dxfId="45"/>
    </tableStyle>
    <tableStyle name="SlicerStyleOther1 2" pivot="0" table="0" count="9" xr9:uid="{AE84D613-E515-2041-AEAE-801B685590DB}">
      <tableStyleElement type="wholeTable" dxfId="44"/>
    </tableStyle>
    <tableStyle name="SlicerStyleOther2 2" pivot="0" table="0" count="9" xr9:uid="{52FCFD4A-DA2A-B14F-8892-DF761F540A98}">
      <tableStyleElement type="wholeTable" dxfId="43"/>
    </tableStyle>
    <tableStyle name="TimeSlicerStyleDark6 2" pivot="0" table="0" count="8" xr9:uid="{C6182DF0-A70F-1245-8DD7-957755761D4A}">
      <tableStyleElement type="wholeTable" dxfId="42"/>
    </tableStyle>
    <tableStyle name="TimeSlicerStyleLight3 2" pivot="0" table="0" count="9" xr9:uid="{D0FE72E3-91E9-9F4C-B5BE-40E49949E1A6}">
      <tableStyleElement type="wholeTable" dxfId="41"/>
      <tableStyleElement type="headerRow" dxfId="40"/>
    </tableStyle>
  </tableStyles>
  <colors>
    <mruColors>
      <color rgb="FFE0E0E0"/>
      <color rgb="FF1A3312"/>
      <color rgb="FF9EF04E"/>
      <color rgb="FFFFFFFF"/>
      <color rgb="FF000000"/>
      <color rgb="FFFFD31B"/>
      <color rgb="FFE8E6E9"/>
      <color rgb="FF107C10"/>
      <color rgb="FF22C55E"/>
      <color rgb="FFF7F8FC"/>
    </mruColors>
  </colors>
  <extLst>
    <ext xmlns:x14="http://schemas.microsoft.com/office/spreadsheetml/2009/9/main" uri="{46F421CA-312F-682f-3DD2-61675219B42D}">
      <x14:dxfs count="112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theme="0" tint="-0.14999847407452621"/>
              <bgColor theme="0" tint="-0.14999847407452621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 tint="-0.249977111117893"/>
              <bgColor theme="0" tint="-0.249977111117893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theme="0"/>
              <bgColor theme="0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0"/>
              <bgColor theme="0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9" tint="-0.249977111117893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theme="9" tint="0.59999389629810485"/>
            </left>
            <right style="thin">
              <color theme="9" tint="0.59999389629810485"/>
            </right>
            <top style="thin">
              <color theme="9" tint="0.59999389629810485"/>
            </top>
            <bottom style="thin">
              <color theme="9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9"/>
              <bgColor theme="9"/>
            </patternFill>
          </fill>
          <border>
            <left style="thin">
              <color theme="9"/>
            </left>
            <right style="thin">
              <color theme="9"/>
            </right>
            <top style="thin">
              <color theme="9"/>
            </top>
            <bottom style="thin">
              <color theme="9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6" tint="-0.249977111117893"/>
          </font>
          <fill>
            <patternFill patternType="solid">
              <fgColor theme="6" tint="0.59999389629810485"/>
              <bgColor theme="6" tint="0.59999389629810485"/>
            </patternFill>
          </fill>
          <border>
            <left style="thin">
              <color theme="6" tint="0.59999389629810485"/>
            </left>
            <right style="thin">
              <color theme="6" tint="0.59999389629810485"/>
            </right>
            <top style="thin">
              <color theme="6" tint="0.59999389629810485"/>
            </top>
            <bottom style="thin">
              <color theme="6" tint="0.59999389629810485"/>
            </bottom>
            <vertical/>
            <horizontal/>
          </border>
        </dxf>
        <dxf>
          <font>
            <color theme="0"/>
          </font>
          <fill>
            <patternFill patternType="solid">
              <fgColor theme="6"/>
              <bgColor theme="6"/>
            </patternFill>
          </fill>
          <border>
            <left style="thin">
              <color theme="6"/>
            </left>
            <right style="thin">
              <color theme="6"/>
            </right>
            <top style="thin">
              <color theme="6"/>
            </top>
            <bottom style="thin">
              <color theme="6"/>
            </bottom>
            <vertical/>
            <horizontal/>
          </border>
        </dxf>
        <dxf>
          <font>
            <color rgb="FF959595"/>
          </font>
          <fill>
            <patternFill patternType="solid">
              <fgColor rgb="FFDFDFDF"/>
              <bgColor rgb="FFDFDFDF"/>
            </patternFill>
          </fill>
          <border>
            <left style="thin">
              <color rgb="FFDFDFDF"/>
            </left>
            <right style="thin">
              <color rgb="FFDFDFDF"/>
            </right>
            <top style="thin">
              <color rgb="FFDFDFDF"/>
            </top>
            <bottom style="thin">
              <color rgb="FFDFDFDF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C0C0C0"/>
              <bgColor rgb="FFC0C0C0"/>
            </patternFill>
          </fill>
          <border>
            <left style="thin">
              <color rgb="FFC0C0C0"/>
            </left>
            <right style="thin">
              <color rgb="FFC0C0C0"/>
            </right>
            <top style="thin">
              <color rgb="FFC0C0C0"/>
            </top>
            <bottom style="thin">
              <color rgb="FFC0C0C0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Dark3 2">
          <x14:slicerStyleElements>
            <x14:slicerStyleElement type="unselectedItemWithData" dxfId="111"/>
            <x14:slicerStyleElement type="unselectedItemWithNoData" dxfId="110"/>
            <x14:slicerStyleElement type="selectedItemWithData" dxfId="109"/>
            <x14:slicerStyleElement type="selectedItemWithNoData" dxfId="108"/>
            <x14:slicerStyleElement type="hoveredUnselectedItemWithData" dxfId="107"/>
            <x14:slicerStyleElement type="hoveredSelectedItemWithData" dxfId="106"/>
            <x14:slicerStyleElement type="hoveredUnselectedItemWithNoData" dxfId="105"/>
            <x14:slicerStyleElement type="hoveredSelectedItemWithNoData" dxfId="104"/>
          </x14:slicerStyleElements>
        </x14:slicerStyle>
        <x14:slicerStyle name="SlicerStyleDark3 3">
          <x14:slicerStyleElements>
            <x14:slicerStyleElement type="unselectedItemWithData" dxfId="103"/>
            <x14:slicerStyleElement type="unselectedItemWithNoData" dxfId="102"/>
            <x14:slicerStyleElement type="selectedItemWithData" dxfId="101"/>
            <x14:slicerStyleElement type="selectedItemWithNoData" dxfId="100"/>
            <x14:slicerStyleElement type="hoveredUnselectedItemWithData" dxfId="99"/>
            <x14:slicerStyleElement type="hoveredSelectedItemWithData" dxfId="98"/>
            <x14:slicerStyleElement type="hoveredUnselectedItemWithNoData" dxfId="97"/>
            <x14:slicerStyleElement type="hoveredSelectedItemWithNoData" dxfId="96"/>
          </x14:slicerStyleElements>
        </x14:slicerStyle>
        <x14:slicerStyle name="SlicerStyleDark6 2">
          <x14:slicerStyleElements>
            <x14:slicerStyleElement type="unselectedItemWithData" dxfId="95"/>
            <x14:slicerStyleElement type="unselectedItemWithNoData" dxfId="94"/>
            <x14:slicerStyleElement type="selectedItemWithData" dxfId="93"/>
            <x14:slicerStyleElement type="selectedItemWithNoData" dxfId="92"/>
            <x14:slicerStyleElement type="hoveredUnselectedItemWithData" dxfId="91"/>
            <x14:slicerStyleElement type="hoveredSelectedItemWithData" dxfId="90"/>
            <x14:slicerStyleElement type="hoveredUnselectedItemWithNoData" dxfId="89"/>
            <x14:slicerStyleElement type="hoveredSelectedItemWithNoData" dxfId="88"/>
          </x14:slicerStyleElements>
        </x14:slicerStyle>
        <x14:slicerStyle name="SlicerStyleDark6 3">
          <x14:slicerStyleElements>
            <x14:slicerStyleElement type="unselectedItemWithData" dxfId="87"/>
            <x14:slicerStyleElement type="unselectedItemWithNoData" dxfId="86"/>
            <x14:slicerStyleElement type="selectedItemWithData" dxfId="85"/>
            <x14:slicerStyleElement type="selectedItemWithNoData" dxfId="84"/>
            <x14:slicerStyleElement type="hoveredUnselectedItemWithData" dxfId="83"/>
            <x14:slicerStyleElement type="hoveredSelectedItemWithData" dxfId="82"/>
            <x14:slicerStyleElement type="hoveredUnselectedItemWithNoData" dxfId="81"/>
            <x14:slicerStyleElement type="hoveredSelectedItemWithNoData" dxfId="80"/>
          </x14:slicerStyleElements>
        </x14:slicerStyle>
        <x14:slicerStyle name="SlicerStyleDark6 3 2">
          <x14:slicerStyleElements>
            <x14:slicerStyleElement type="unselectedItemWithData" dxfId="79"/>
            <x14:slicerStyleElement type="unselectedItemWithNoData" dxfId="78"/>
            <x14:slicerStyleElement type="selectedItemWithData" dxfId="77"/>
            <x14:slicerStyleElement type="selectedItemWithNoData" dxfId="76"/>
            <x14:slicerStyleElement type="hoveredUnselectedItemWithData" dxfId="75"/>
            <x14:slicerStyleElement type="hoveredSelectedItemWithData" dxfId="74"/>
            <x14:slicerStyleElement type="hoveredUnselectedItemWithNoData" dxfId="73"/>
            <x14:slicerStyleElement type="hoveredSelectedItemWithNoData" dxfId="72"/>
          </x14:slicerStyleElements>
        </x14:slicerStyle>
        <x14:slicerStyle name="SlicerStyleLight6 2">
          <x14:slicerStyleElements>
            <x14:slicerStyleElement type="unselectedItemWithData" dxfId="71"/>
            <x14:slicerStyleElement type="unselectedItemWithNoData" dxfId="70"/>
            <x14:slicerStyleElement type="selectedItemWithData" dxfId="69"/>
            <x14:slicerStyleElement type="selectedItemWithNoData" dxfId="68"/>
            <x14:slicerStyleElement type="hoveredUnselectedItemWithData" dxfId="67"/>
            <x14:slicerStyleElement type="hoveredSelectedItemWithData" dxfId="66"/>
            <x14:slicerStyleElement type="hoveredUnselectedItemWithNoData" dxfId="65"/>
            <x14:slicerStyleElement type="hoveredSelectedItemWithNoData" dxfId="64"/>
          </x14:slicerStyleElements>
        </x14:slicerStyle>
        <x14:slicerStyle name="SlicerStyleLight6 2 2">
          <x14:slicerStyleElements>
            <x14:slicerStyleElement type="unselectedItemWithData" dxfId="63"/>
            <x14:slicerStyleElement type="unselectedItemWithNoData" dxfId="62"/>
            <x14:slicerStyleElement type="selectedItemWithData" dxfId="61"/>
            <x14:slicerStyleElement type="selectedItemWithNoData" dxfId="60"/>
            <x14:slicerStyleElement type="hoveredUnselectedItemWithData" dxfId="59"/>
            <x14:slicerStyleElement type="hoveredSelectedItemWithData" dxfId="58"/>
            <x14:slicerStyleElement type="hoveredUnselectedItemWithNoData" dxfId="57"/>
            <x14:slicerStyleElement type="hoveredSelectedItemWithNoData" dxfId="56"/>
          </x14:slicerStyleElements>
        </x14:slicerStyle>
        <x14:slicerStyle name="SlicerStyleLight6 3">
          <x14:slicerStyleElements>
            <x14:slicerStyleElement type="unselectedItemWithData" dxfId="55"/>
            <x14:slicerStyleElement type="unselectedItemWithNoData" dxfId="54"/>
            <x14:slicerStyleElement type="selectedItemWithData" dxfId="53"/>
            <x14:slicerStyleElement type="selectedItemWithNoData" dxfId="52"/>
            <x14:slicerStyleElement type="hoveredUnselectedItemWithData" dxfId="51"/>
            <x14:slicerStyleElement type="hoveredSelectedItemWithData" dxfId="50"/>
            <x14:slicerStyleElement type="hoveredUnselectedItemWithNoData" dxfId="49"/>
            <x14:slicerStyleElement type="hoveredSelectedItemWithNoData" dxfId="48"/>
          </x14:slicerStyleElements>
        </x14:slicerStyle>
        <x14:slicerStyle name="SlicerStyleLight6 3 2">
          <x14:slicerStyleElements>
            <x14:slicerStyleElement type="unselectedItemWithData" dxfId="47"/>
            <x14:slicerStyleElement type="unselectedItemWithNoData" dxfId="46"/>
            <x14:slicerStyleElement type="selectedItemWithData" dxfId="45"/>
            <x14:slicerStyleElement type="selectedItemWithNoData" dxfId="44"/>
            <x14:slicerStyleElement type="hoveredUnselectedItemWithData" dxfId="43"/>
            <x14:slicerStyleElement type="hoveredSelectedItemWithData" dxfId="42"/>
            <x14:slicerStyleElement type="hoveredUnselectedItemWithNoData" dxfId="41"/>
            <x14:slicerStyleElement type="hoveredSelectedItemWithNoData" dxfId="40"/>
          </x14:slicerStyleElements>
        </x14:slicerStyle>
        <x14:slicerStyle name="SlicerStyleLight6 3 2 2">
          <x14:slicerStyleElements>
            <x14:slicerStyleElement type="unselectedItemWithData" dxfId="39"/>
            <x14:slicerStyleElement type="unselectedItemWithNoData" dxfId="38"/>
            <x14:slicerStyleElement type="selectedItemWithData" dxfId="37"/>
            <x14:slicerStyleElement type="selectedItemWithNoData" dxfId="36"/>
            <x14:slicerStyleElement type="hoveredUnselectedItemWithData" dxfId="35"/>
            <x14:slicerStyleElement type="hoveredSelectedItemWithData" dxfId="34"/>
            <x14:slicerStyleElement type="hoveredUnselectedItemWithNoData" dxfId="33"/>
            <x14:slicerStyleElement type="hoveredSelectedItemWithNoData" dxfId="32"/>
          </x14:slicerStyleElements>
        </x14:slicerStyle>
        <x14:slicerStyle name="SlicerStyleLight6 3 3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3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Other1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4">
        <dxf>
          <fill>
            <patternFill patternType="solid">
              <fgColor theme="6" tint="0.39997558519241921"/>
              <bgColor theme="6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6" tint="0.59999389629810485"/>
              </stop>
              <stop position="1">
                <color theme="6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6" tint="-0.249977111117893"/>
          </font>
          <border>
            <left/>
            <right/>
            <top/>
            <bottom/>
            <vertical/>
            <horizontal/>
          </border>
        </dxf>
        <dxf>
          <fill>
            <patternFill patternType="solid">
              <fgColor theme="9" tint="0.39997558519241921"/>
              <bgColor theme="9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249977111117893"/>
              </stop>
              <stop position="1">
                <color theme="0" tint="-0.249977111117893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9"/>
              </stop>
              <stop position="1">
                <color theme="9" tint="-0.499984740745262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9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Dark6 2">
          <x15:timelineStyleElements>
            <x15:timelineStyleElement type="selectionLabel" dxfId="13"/>
            <x15:timelineStyleElement type="timeLevel" dxfId="12"/>
            <x15:timelineStyleElement type="periodLabel1" dxfId="11"/>
            <x15:timelineStyleElement type="periodLabel2" dxfId="10"/>
            <x15:timelineStyleElement type="selectedTimeBlock" dxfId="9"/>
            <x15:timelineStyleElement type="unselectedTimeBlock" dxfId="8"/>
            <x15:timelineStyleElement type="selectedTimeBlockSpace" dxfId="7"/>
          </x15:timelineStyleElements>
        </x15:timelineStyle>
        <x15:timelineStyle name="TimeSlicerStyleLight3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1/relationships/timelineCache" Target="timelineCaches/timelineCach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microsoft.com/office/2007/relationships/slicerCache" Target="slicerCaches/slicerCache4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[Desafio_3.1.xlsx]C̳álculos!Tabela dinâmica1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1"/>
        <c:dLbl>
          <c:idx val="0"/>
          <c:layout>
            <c:manualLayout>
              <c:x val="5.4798243822692194E-7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  <c15:xForSave val="1"/>
            </c:ext>
          </c:extLst>
        </c:dLbl>
      </c:pivotFmt>
      <c:pivotFmt>
        <c:idx val="2"/>
        <c:dLbl>
          <c:idx val="0"/>
          <c:layout>
            <c:manualLayout>
              <c:x val="5.4798243822692194E-7"/>
              <c:y val="-4.7888069306362195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  <c15:xForSave val="1"/>
            </c:ext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4"/>
        <c:dLbl>
          <c:idx val="0"/>
          <c:layout>
            <c:manualLayout>
              <c:x val="5.4798243822692194E-7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5"/>
        <c:dLbl>
          <c:idx val="0"/>
          <c:layout>
            <c:manualLayout>
              <c:x val="5.4798243822692194E-7"/>
              <c:y val="-4.7888069306362195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9623980523"/>
                  <c:h val="0.23107656653834549"/>
                </c:manualLayout>
              </c15:layout>
            </c:ext>
          </c:extLst>
        </c:dLbl>
      </c:pivotFmt>
      <c:pivotFmt>
        <c:idx val="7"/>
        <c:dLbl>
          <c:idx val="0"/>
          <c:layout>
            <c:manualLayout>
              <c:x val="0"/>
              <c:y val="-9.4047528004083594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  <c15:xForSave val="1"/>
            </c:ext>
          </c:extLst>
        </c:dLbl>
      </c:pivotFmt>
      <c:pivotFmt>
        <c:idx val="8"/>
        <c:dLbl>
          <c:idx val="0"/>
          <c:layout>
            <c:manualLayout>
              <c:x val="0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  <c15:xForSave val="1"/>
            </c:ext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9623980523"/>
                  <c:h val="0.23107656653834549"/>
                </c:manualLayout>
              </c15:layout>
            </c:ext>
          </c:extLst>
        </c:dLbl>
      </c:pivotFmt>
      <c:pivotFmt>
        <c:idx val="10"/>
        <c:dLbl>
          <c:idx val="0"/>
          <c:layout>
            <c:manualLayout>
              <c:x val="0"/>
              <c:y val="-9.4047528004083594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1"/>
        <c:dLbl>
          <c:idx val="0"/>
          <c:layout>
            <c:manualLayout>
              <c:x val="0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layout>
            <c:manualLayout>
              <c:x val="0"/>
              <c:y val="-9.4047528004083594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4"/>
        <c:dLbl>
          <c:idx val="0"/>
          <c:layout>
            <c:manualLayout>
              <c:x val="0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layout>
            <c:manualLayout>
              <c:x val="0"/>
              <c:y val="-9.4047528004083594E-17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7"/>
        <c:dLbl>
          <c:idx val="0"/>
          <c:layout>
            <c:manualLayout>
              <c:x val="0"/>
              <c:y val="0"/>
            </c:manualLayout>
          </c:layout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5562047419"/>
                  <c:h val="0.23107683980498209"/>
                </c:manualLayout>
              </c15:layout>
            </c:ext>
          </c:extLst>
        </c:dLbl>
      </c:pivotFmt>
      <c:pivotFmt>
        <c:idx val="1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6"/>
          </a:solidFill>
          <a:ln>
            <a:noFill/>
          </a:ln>
          <a:effectLst/>
        </c:spPr>
      </c:pivotFmt>
      <c:pivotFmt>
        <c:idx val="20"/>
        <c:spPr>
          <a:solidFill>
            <a:schemeClr val="accent6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5015-0D47-A049-3DAC7F8C467C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5015-0D47-A049-3DAC7F8C467C}"/>
              </c:ext>
            </c:extLst>
          </c:dPt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"R$"\ #,##0.00</c:formatCode>
                <c:ptCount val="2"/>
                <c:pt idx="0">
                  <c:v>1688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015-0D47-A049-3DAC7F8C4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1477504"/>
        <c:axId val="744563904"/>
      </c:barChart>
      <c:catAx>
        <c:axId val="75147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44563904"/>
        <c:crosses val="autoZero"/>
        <c:auto val="1"/>
        <c:lblAlgn val="ctr"/>
        <c:lblOffset val="100"/>
        <c:noMultiLvlLbl val="0"/>
      </c:catAx>
      <c:valAx>
        <c:axId val="744563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5147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50800" cap="rnd">
              <a:solidFill>
                <a:srgbClr val="9EF04E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65</c:v>
              </c:pt>
              <c:pt idx="1">
                <c:v>62</c:v>
              </c:pt>
              <c:pt idx="2">
                <c:v>575</c:v>
              </c:pt>
              <c:pt idx="3">
                <c:v>529</c:v>
              </c:pt>
              <c:pt idx="4">
                <c:v>509</c:v>
              </c:pt>
              <c:pt idx="5">
                <c:v>500</c:v>
              </c:pt>
              <c:pt idx="6">
                <c:v>518</c:v>
              </c:pt>
              <c:pt idx="7">
                <c:v>574</c:v>
              </c:pt>
              <c:pt idx="8">
                <c:v>514</c:v>
              </c:pt>
              <c:pt idx="9">
                <c:v>615</c:v>
              </c:pt>
              <c:pt idx="10">
                <c:v>561</c:v>
              </c:pt>
              <c:pt idx="11">
                <c:v>303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EAE5-A644-B2C2-3F20D66C81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169343"/>
        <c:axId val="1874172479"/>
      </c:lineChart>
      <c:catAx>
        <c:axId val="187416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A3312"/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pt-BR"/>
          </a:p>
        </c:txPr>
        <c:crossAx val="1874172479"/>
        <c:crosses val="autoZero"/>
        <c:auto val="1"/>
        <c:lblAlgn val="ctr"/>
        <c:lblOffset val="100"/>
        <c:noMultiLvlLbl val="0"/>
      </c:catAx>
      <c:valAx>
        <c:axId val="1874172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A3312"/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pt-BR"/>
          </a:p>
        </c:txPr>
        <c:crossAx val="187416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[Desafio_3.1.xlsx]C̳álculos!tbl_plan_discount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Título do Gráfico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2.5821320863306704E-17"/>
              <c:y val="-2.3463689215122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C̳álculos!$K$54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FCC-AF44-BAA1-3F1590D833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C̳álculos!$J$55:$J$56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C̳álculos!$K$55:$K$56</c:f>
              <c:numCache>
                <c:formatCode>General</c:formatCode>
                <c:ptCount val="1"/>
                <c:pt idx="0">
                  <c:v>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FCC-AF44-BAA1-3F1590D83309}"/>
            </c:ext>
          </c:extLst>
        </c:ser>
        <c:ser>
          <c:idx val="1"/>
          <c:order val="1"/>
          <c:tx>
            <c:strRef>
              <c:f>C̳álculos!$L$54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C̳álculos!$J$55:$J$56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C̳álculos!$L$55:$L$56</c:f>
              <c:numCache>
                <c:formatCode>General</c:formatCode>
                <c:ptCount val="1"/>
                <c:pt idx="0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CC-AF44-BAA1-3F1590D833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1901538239"/>
        <c:axId val="1901539135"/>
      </c:barChart>
      <c:catAx>
        <c:axId val="19015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1539135"/>
        <c:crosses val="autoZero"/>
        <c:auto val="1"/>
        <c:lblAlgn val="ctr"/>
        <c:lblOffset val="100"/>
        <c:noMultiLvlLbl val="0"/>
      </c:catAx>
      <c:valAx>
        <c:axId val="1901539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01538239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[Desafio_3.1.xlsx]C̳álculos!tbl_autorenewal</c:name>
    <c:fmtId val="2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C̳álculos!$K$64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22-C144-9CB3-CFC9C0F5DFC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22-C144-9CB3-CFC9C0F5DFC8}"/>
              </c:ext>
            </c:extLst>
          </c:dPt>
          <c:cat>
            <c:strRef>
              <c:f>C̳álculos!$J$65:$J$67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C̳álculos!$K$65:$K$67</c:f>
              <c:numCache>
                <c:formatCode>"R$"\ #,##0.00</c:formatCode>
                <c:ptCount val="2"/>
                <c:pt idx="0">
                  <c:v>1688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34-574D-83BF-F64C67457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0692009921265347"/>
          <c:y val="0.8341540050331574"/>
          <c:w val="0.54390625701799766"/>
          <c:h val="0.16584605995290724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[Desafio_3.1.xlsx]C̳álculos!Tabela dinâmica1</c:name>
    <c:fmtId val="24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1A331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5.4798243822692194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  <c15:xForSave val="1"/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5.4798243822692194E-7"/>
              <c:y val="-4.788806930636219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1A331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  <c15:xForSave val="1"/>
            </c:ext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1A331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5.4798243822692194E-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1A331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dLbl>
          <c:idx val="0"/>
          <c:layout>
            <c:manualLayout>
              <c:x val="5.4798243822692194E-7"/>
              <c:y val="-4.7888069306362195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rgbClr val="1A3312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4253571201550132"/>
                  <c:h val="7.8049747674608025E-2"/>
                </c:manualLayout>
              </c15:layout>
            </c:ext>
          </c:extLst>
        </c:dLbl>
      </c:pivotFmt>
      <c:pivotFmt>
        <c:idx val="6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9355369623980523"/>
                  <c:h val="0.23107656653834549"/>
                </c:manualLayout>
              </c15:layout>
            </c:ext>
          </c:extLst>
        </c:dLbl>
      </c:pivotFmt>
      <c:pivotFmt>
        <c:idx val="7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8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9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1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2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4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5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7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18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9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tIns="640080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  <c:pivotFmt>
        <c:idx val="20"/>
        <c:spPr>
          <a:solidFill>
            <a:srgbClr val="9EF04E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0"/>
            <a:lstStyle/>
            <a:p>
              <a:pPr algn="l">
                <a:defRPr sz="900" b="1" i="0" u="none" strike="noStrike" kern="1200" baseline="0">
                  <a:solidFill>
                    <a:schemeClr val="tx1"/>
                  </a:solidFill>
                  <a:latin typeface="Segoe UI Semibold" panose="020B0502040204020203" pitchFamily="34" charset="0"/>
                  <a:ea typeface="+mn-ea"/>
                  <a:cs typeface="Segoe UI Semibold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22002752148706264"/>
                  <c:h val="0.23107683980498209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8.7370669031173132E-2"/>
          <c:y val="7.5530865896165839E-2"/>
          <c:w val="0.75077593140526966"/>
          <c:h val="0.7646442413230464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EF04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EF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576-934F-B840-6448AFFCA69E}"/>
              </c:ext>
            </c:extLst>
          </c:dPt>
          <c:dPt>
            <c:idx val="1"/>
            <c:invertIfNegative val="0"/>
            <c:bubble3D val="0"/>
            <c:spPr>
              <a:solidFill>
                <a:srgbClr val="9EF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576-934F-B840-6448AFFCA69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tIns="640080" anchor="ctr" anchorCtr="0"/>
                <a:lstStyle/>
                <a:p>
                  <a:pPr algn="l">
                    <a:defRPr sz="900" b="1" i="0" u="none" strike="noStrike" kern="1200" baseline="0">
                      <a:solidFill>
                        <a:schemeClr val="tx1"/>
                      </a:solidFill>
                      <a:latin typeface="Segoe UI Semibold" panose="020B0502040204020203" pitchFamily="34" charset="0"/>
                      <a:ea typeface="+mn-ea"/>
                      <a:cs typeface="Segoe UI Semibold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02752148706264"/>
                      <c:h val="0.231076839804982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576-934F-B840-6448AFFCA69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0"/>
                <a:lstStyle/>
                <a:p>
                  <a:pPr algn="l">
                    <a:defRPr sz="900" b="1" i="0" u="none" strike="noStrike" kern="1200" baseline="0">
                      <a:solidFill>
                        <a:schemeClr val="tx1"/>
                      </a:solidFill>
                      <a:latin typeface="Segoe UI Semibold" panose="020B0502040204020203" pitchFamily="34" charset="0"/>
                      <a:ea typeface="+mn-ea"/>
                      <a:cs typeface="Segoe UI Semibold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2002752148706264"/>
                      <c:h val="0.231076839804982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8576-934F-B840-6448AFFCA69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tIns="640080" anchor="ctr" anchorCtr="0"/>
              <a:lstStyle/>
              <a:p>
                <a:pPr algn="l">
                  <a:defRPr sz="900" b="1" i="0" u="none" strike="noStrike" kern="1200" baseline="0">
                    <a:solidFill>
                      <a:schemeClr val="tx1"/>
                    </a:solidFill>
                    <a:latin typeface="Segoe UI Semibold" panose="020B0502040204020203" pitchFamily="34" charset="0"/>
                    <a:ea typeface="+mn-ea"/>
                    <a:cs typeface="Segoe UI Semibold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C̳álculos!$B$15:$B$17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C̳álculos!$C$15:$C$17</c:f>
              <c:numCache>
                <c:formatCode>"R$"\ #,##0.00</c:formatCode>
                <c:ptCount val="2"/>
                <c:pt idx="0">
                  <c:v>1688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76-934F-B840-6448AFFCA6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3"/>
        <c:axId val="751477504"/>
        <c:axId val="744563904"/>
      </c:barChart>
      <c:catAx>
        <c:axId val="75147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pt-BR"/>
          </a:p>
        </c:txPr>
        <c:crossAx val="744563904"/>
        <c:crosses val="autoZero"/>
        <c:auto val="1"/>
        <c:lblAlgn val="ctr"/>
        <c:lblOffset val="100"/>
        <c:noMultiLvlLbl val="0"/>
      </c:catAx>
      <c:valAx>
        <c:axId val="744563904"/>
        <c:scaling>
          <c:orientation val="minMax"/>
        </c:scaling>
        <c:delete val="1"/>
        <c:axPos val="b"/>
        <c:numFmt formatCode="&quot;R$&quot;\ #,##0.00" sourceLinked="1"/>
        <c:majorTickMark val="none"/>
        <c:minorTickMark val="none"/>
        <c:tickLblPos val="nextTo"/>
        <c:crossAx val="75147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19050" cap="flat" cmpd="sng" algn="ctr">
      <a:noFill/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[Desafio_3.1.xlsx]C̳álculos!tbl_autorenewal</c:name>
    <c:fmtId val="39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0000"/>
          </a:solidFill>
          <a:ln>
            <a:noFill/>
          </a:ln>
          <a:effectLst/>
        </c:spPr>
      </c:pivotFmt>
      <c:pivotFmt>
        <c:idx val="6"/>
        <c:spPr>
          <a:solidFill>
            <a:srgbClr val="9EF04E"/>
          </a:solidFill>
          <a:ln>
            <a:noFill/>
          </a:ln>
          <a:effectLst/>
        </c:spP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0000"/>
          </a:solidFill>
          <a:ln>
            <a:noFill/>
          </a:ln>
          <a:effectLst/>
        </c:spPr>
      </c:pivotFmt>
      <c:pivotFmt>
        <c:idx val="9"/>
        <c:spPr>
          <a:solidFill>
            <a:srgbClr val="9EF04E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0000"/>
          </a:solidFill>
          <a:ln>
            <a:noFill/>
          </a:ln>
          <a:effectLst/>
        </c:spPr>
      </c:pivotFmt>
      <c:pivotFmt>
        <c:idx val="12"/>
        <c:spPr>
          <a:solidFill>
            <a:srgbClr val="9EF04E"/>
          </a:solidFill>
          <a:ln>
            <a:noFill/>
          </a:ln>
          <a:effectLst/>
        </c:spPr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0000"/>
          </a:solidFill>
          <a:ln>
            <a:noFill/>
          </a:ln>
          <a:effectLst/>
        </c:spPr>
      </c:pivotFmt>
      <c:pivotFmt>
        <c:idx val="15"/>
        <c:spPr>
          <a:solidFill>
            <a:srgbClr val="9EF04E"/>
          </a:solidFill>
          <a:ln>
            <a:noFill/>
          </a:ln>
          <a:effectLst/>
        </c:spPr>
      </c:pivotFmt>
      <c:pivotFmt>
        <c:idx val="16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0000"/>
          </a:solidFill>
          <a:ln>
            <a:noFill/>
          </a:ln>
          <a:effectLst/>
        </c:spPr>
      </c:pivotFmt>
      <c:pivotFmt>
        <c:idx val="18"/>
        <c:spPr>
          <a:solidFill>
            <a:srgbClr val="9EF04E"/>
          </a:solidFill>
          <a:ln>
            <a:noFill/>
          </a:ln>
          <a:effectLst/>
        </c:spPr>
      </c:pivotFmt>
      <c:pivotFmt>
        <c:idx val="19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000000"/>
          </a:solidFill>
          <a:ln>
            <a:noFill/>
          </a:ln>
          <a:effectLst/>
        </c:spPr>
      </c:pivotFmt>
      <c:pivotFmt>
        <c:idx val="21"/>
        <c:spPr>
          <a:solidFill>
            <a:srgbClr val="9EF04E"/>
          </a:solidFill>
          <a:ln>
            <a:noFill/>
          </a:ln>
          <a:effectLst/>
        </c:spPr>
      </c:pivotFmt>
      <c:pivotFmt>
        <c:idx val="22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000000"/>
          </a:solidFill>
          <a:ln>
            <a:noFill/>
          </a:ln>
          <a:effectLst/>
        </c:spPr>
      </c:pivotFmt>
      <c:pivotFmt>
        <c:idx val="24"/>
        <c:spPr>
          <a:solidFill>
            <a:srgbClr val="9EF04E"/>
          </a:solidFill>
          <a:ln>
            <a:noFill/>
          </a:ln>
          <a:effectLst/>
        </c:spPr>
      </c:pivotFmt>
      <c:pivotFmt>
        <c:idx val="25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000000"/>
          </a:solidFill>
          <a:ln>
            <a:noFill/>
          </a:ln>
          <a:effectLst/>
        </c:spPr>
      </c:pivotFmt>
      <c:pivotFmt>
        <c:idx val="27"/>
        <c:spPr>
          <a:solidFill>
            <a:srgbClr val="9EF04E"/>
          </a:solidFill>
          <a:ln>
            <a:noFill/>
          </a:ln>
          <a:effectLst/>
        </c:spPr>
      </c:pivotFmt>
      <c:pivotFmt>
        <c:idx val="28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000000"/>
          </a:solidFill>
          <a:ln>
            <a:noFill/>
          </a:ln>
          <a:effectLst/>
        </c:spPr>
      </c:pivotFmt>
      <c:pivotFmt>
        <c:idx val="30"/>
        <c:spPr>
          <a:solidFill>
            <a:srgbClr val="9EF04E"/>
          </a:solidFill>
          <a:ln>
            <a:noFill/>
          </a:ln>
          <a:effectLst/>
        </c:spPr>
      </c:pivotFmt>
      <c:pivotFmt>
        <c:idx val="3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rgbClr val="000000"/>
          </a:solidFill>
          <a:ln>
            <a:noFill/>
          </a:ln>
          <a:effectLst/>
        </c:spPr>
      </c:pivotFmt>
      <c:pivotFmt>
        <c:idx val="33"/>
        <c:spPr>
          <a:solidFill>
            <a:srgbClr val="9EF04E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C̳álculos!$K$64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5B5-FC4D-AD25-F33DDB0394B0}"/>
              </c:ext>
            </c:extLst>
          </c:dPt>
          <c:dPt>
            <c:idx val="1"/>
            <c:bubble3D val="0"/>
            <c:spPr>
              <a:solidFill>
                <a:srgbClr val="9EF04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5B5-FC4D-AD25-F33DDB0394B0}"/>
              </c:ext>
            </c:extLst>
          </c:dPt>
          <c:cat>
            <c:strRef>
              <c:f>C̳álculos!$J$65:$J$67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C̳álculos!$K$65:$K$67</c:f>
              <c:numCache>
                <c:formatCode>"R$"\ #,##0.00</c:formatCode>
                <c:ptCount val="2"/>
                <c:pt idx="0">
                  <c:v>1688</c:v>
                </c:pt>
                <c:pt idx="1">
                  <c:v>1715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5B5-FC4D-AD25-F33DDB039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layout>
        <c:manualLayout>
          <c:xMode val="edge"/>
          <c:yMode val="edge"/>
          <c:x val="0.73761552651495721"/>
          <c:y val="0.38920343206994712"/>
          <c:w val="0.14889769016903742"/>
          <c:h val="0.23522896751215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50800" cap="rnd">
            <a:solidFill>
              <a:srgbClr val="9EF04E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72360652759696"/>
          <c:y val="3.3532620232819089E-2"/>
          <c:w val="0.88030819416114736"/>
          <c:h val="0.81851617725404135"/>
        </c:manualLayout>
      </c:layout>
      <c:lineChart>
        <c:grouping val="standard"/>
        <c:varyColors val="0"/>
        <c:ser>
          <c:idx val="0"/>
          <c:order val="0"/>
          <c:tx>
            <c:v>Série1</c:v>
          </c:tx>
          <c:spPr>
            <a:ln w="50800" cap="rnd">
              <a:solidFill>
                <a:srgbClr val="9EF04E"/>
              </a:solidFill>
              <a:round/>
            </a:ln>
            <a:effectLst/>
          </c:spPr>
          <c:marker>
            <c:symbol val="none"/>
          </c:marker>
          <c:cat>
            <c:strLit>
              <c:ptCount val="12"/>
              <c:pt idx="0">
                <c:v>jan</c:v>
              </c:pt>
              <c:pt idx="1">
                <c:v>fev</c:v>
              </c:pt>
              <c:pt idx="2">
                <c:v>mar</c:v>
              </c:pt>
              <c:pt idx="3">
                <c:v>abr</c:v>
              </c:pt>
              <c:pt idx="4">
                <c:v>mai</c:v>
              </c:pt>
              <c:pt idx="5">
                <c:v>jun</c:v>
              </c:pt>
              <c:pt idx="6">
                <c:v>jul</c:v>
              </c:pt>
              <c:pt idx="7">
                <c:v>ago</c:v>
              </c:pt>
              <c:pt idx="8">
                <c:v>set</c:v>
              </c:pt>
              <c:pt idx="9">
                <c:v>out</c:v>
              </c:pt>
              <c:pt idx="10">
                <c:v>nov</c:v>
              </c:pt>
              <c:pt idx="11">
                <c:v>dez</c:v>
              </c:pt>
            </c:strLit>
          </c:cat>
          <c:val>
            <c:numLit>
              <c:formatCode>General</c:formatCode>
              <c:ptCount val="12"/>
              <c:pt idx="0">
                <c:v>65</c:v>
              </c:pt>
              <c:pt idx="1">
                <c:v>62</c:v>
              </c:pt>
              <c:pt idx="2">
                <c:v>575</c:v>
              </c:pt>
              <c:pt idx="3">
                <c:v>529</c:v>
              </c:pt>
              <c:pt idx="4">
                <c:v>509</c:v>
              </c:pt>
              <c:pt idx="5">
                <c:v>500</c:v>
              </c:pt>
              <c:pt idx="6">
                <c:v>518</c:v>
              </c:pt>
              <c:pt idx="7">
                <c:v>574</c:v>
              </c:pt>
              <c:pt idx="8">
                <c:v>514</c:v>
              </c:pt>
              <c:pt idx="9">
                <c:v>615</c:v>
              </c:pt>
              <c:pt idx="10">
                <c:v>561</c:v>
              </c:pt>
              <c:pt idx="11">
                <c:v>303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76EE-2C47-9FE5-408B6A0D0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4169343"/>
        <c:axId val="1874172479"/>
      </c:lineChart>
      <c:catAx>
        <c:axId val="187416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A3312"/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pt-BR"/>
          </a:p>
        </c:txPr>
        <c:crossAx val="1874172479"/>
        <c:crosses val="autoZero"/>
        <c:auto val="1"/>
        <c:lblAlgn val="ctr"/>
        <c:lblOffset val="100"/>
        <c:noMultiLvlLbl val="0"/>
      </c:catAx>
      <c:valAx>
        <c:axId val="1874172479"/>
        <c:scaling>
          <c:orientation val="minMax"/>
        </c:scaling>
        <c:delete val="0"/>
        <c:axPos val="l"/>
        <c:numFmt formatCode="&quot;R$&quot;\ 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1A3312"/>
                </a:solidFill>
                <a:latin typeface="Segoe UI Semibold" panose="020B0502040204020203" pitchFamily="34" charset="0"/>
                <a:ea typeface="+mn-ea"/>
                <a:cs typeface="Segoe UI Semibold" panose="020B0502040204020203" pitchFamily="34" charset="0"/>
              </a:defRPr>
            </a:pPr>
            <a:endParaRPr lang="pt-BR"/>
          </a:p>
        </c:txPr>
        <c:crossAx val="1874169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[Desafio_3.1.xlsx]C̳álculos!tbl_plan_discount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dLbl>
          <c:idx val="0"/>
          <c:layout>
            <c:manualLayout>
              <c:x val="-2.5821320863306704E-17"/>
              <c:y val="-2.3463689215122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dLbl>
          <c:idx val="0"/>
          <c:layout>
            <c:manualLayout>
              <c:x val="-2.5821320863306704E-17"/>
              <c:y val="-2.3463689215122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9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dLbl>
          <c:idx val="0"/>
          <c:layout>
            <c:manualLayout>
              <c:x val="-2.9585798816568047E-3"/>
              <c:y val="-5.3914483198283375E-3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5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dLbl>
          <c:idx val="0"/>
          <c:layout>
            <c:manualLayout>
              <c:x val="-2.9585798816568047E-3"/>
              <c:y val="-5.3914483198283375E-3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1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dLbl>
          <c:idx val="0"/>
          <c:layout>
            <c:manualLayout>
              <c:x val="-2.9585798816568047E-3"/>
              <c:y val="-5.3914483198283375E-3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7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dLbl>
          <c:idx val="0"/>
          <c:layout>
            <c:manualLayout>
              <c:x val="-2.9585798816568047E-3"/>
              <c:y val="-5.3914483198283375E-3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rgbClr val="9EF04E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3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/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rgbClr val="E0E0E0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dLbl>
          <c:idx val="0"/>
          <c:layout>
            <c:manualLayout>
              <c:x val="-2.9585798816568047E-3"/>
              <c:y val="-5.3914483198283375E-3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rgbClr val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5086755053271315E-2"/>
          <c:y val="3.6231364720548775E-2"/>
          <c:w val="0.93802811403181907"/>
          <c:h val="0.77073377415968281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C̳álculos!$K$54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9EF04E"/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&quot;R$&quot;\ 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0B-6E47-AE44-3E796FB714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/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C̳álculos!$J$55:$J$56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C̳álculos!$K$55:$K$56</c:f>
              <c:numCache>
                <c:formatCode>General</c:formatCode>
                <c:ptCount val="1"/>
                <c:pt idx="0">
                  <c:v>3403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0B-6E47-AE44-3E796FB714DD}"/>
            </c:ext>
          </c:extLst>
        </c:ser>
        <c:ser>
          <c:idx val="1"/>
          <c:order val="1"/>
          <c:tx>
            <c:strRef>
              <c:f>C̳álculos!$L$54</c:f>
              <c:strCache>
                <c:ptCount val="1"/>
                <c:pt idx="0">
                  <c:v>Soma de Coupon Value</c:v>
                </c:pt>
              </c:strCache>
            </c:strRef>
          </c:tx>
          <c:spPr>
            <a:solidFill>
              <a:srgbClr val="E0E0E0"/>
            </a:solidFill>
            <a:ln>
              <a:noFill/>
            </a:ln>
            <a:effectLst/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C̳álculos!$J$55:$J$56</c:f>
              <c:strCache>
                <c:ptCount val="1"/>
                <c:pt idx="0">
                  <c:v>Ultimate</c:v>
                </c:pt>
              </c:strCache>
            </c:strRef>
          </c:cat>
          <c:val>
            <c:numRef>
              <c:f>C̳álculos!$L$55:$L$56</c:f>
              <c:numCache>
                <c:formatCode>General</c:formatCode>
                <c:ptCount val="1"/>
                <c:pt idx="0">
                  <c:v>627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0B-6E47-AE44-3E796FB714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09"/>
        <c:overlap val="100"/>
        <c:axId val="1901538239"/>
        <c:axId val="1901539135"/>
      </c:barChart>
      <c:catAx>
        <c:axId val="19015382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pt-BR"/>
          </a:p>
        </c:txPr>
        <c:crossAx val="1901539135"/>
        <c:crosses val="autoZero"/>
        <c:auto val="1"/>
        <c:lblAlgn val="ctr"/>
        <c:lblOffset val="100"/>
        <c:noMultiLvlLbl val="0"/>
      </c:catAx>
      <c:valAx>
        <c:axId val="1901539135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01538239"/>
        <c:crosses val="autoZero"/>
        <c:crossBetween val="between"/>
      </c:valAx>
      <c:spPr>
        <a:noFill/>
        <a:ln>
          <a:noFill/>
        </a:ln>
      </c:spPr>
    </c:plotArea>
    <c:legend>
      <c:legendPos val="b"/>
      <c:layout>
        <c:manualLayout>
          <c:xMode val="edge"/>
          <c:yMode val="edge"/>
          <c:x val="0.12877689368659267"/>
          <c:y val="0.91738241609838655"/>
          <c:w val="0.7924593656479515"/>
          <c:h val="8.26174014374810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502040204020203" pitchFamily="34" charset="0"/>
              <a:ea typeface="+mn-ea"/>
              <a:cs typeface="Segoe UI Semibold" panose="020B0502040204020203" pitchFamily="34" charset="0"/>
            </a:defRPr>
          </a:pPr>
          <a:endParaRPr lang="pt-BR"/>
        </a:p>
      </c:txPr>
    </c:legend>
    <c:plotVisOnly val="1"/>
    <c:dispBlanksAs val="gap"/>
    <c:showDLblsOverMax val="0"/>
    <c:extLst/>
  </c:chart>
  <c:spPr>
    <a:noFill/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plotArea>
      <cx:plotAreaRegion>
        <cx:plotSurface>
          <cx:spPr>
            <a:solidFill>
              <a:schemeClr val="bg1"/>
            </a:solidFill>
            <a:ln>
              <a:noFill/>
            </a:ln>
          </cx:spPr>
        </cx:plotSurface>
        <cx:series layoutId="waterfall" uniqueId="{C44E5AB3-71F8-6549-A269-59B031BB2D78}" formatIdx="0">
          <cx:tx>
            <cx:txData>
              <cx:f>_xlchart.v1.9</cx:f>
              <cx:v>Faturamento</cx:v>
            </cx:txData>
          </cx:tx>
          <cx:spPr>
            <a:ln>
              <a:noFill/>
            </a:ln>
          </cx:spPr>
          <cx:dataPt idx="0">
            <cx:spPr>
              <a:solidFill>
                <a:srgbClr val="000000"/>
              </a:solidFill>
              <a:ln>
                <a:noFill/>
              </a:ln>
            </cx:spPr>
          </cx:dataPt>
          <cx:dataPt idx="1">
            <cx:spPr>
              <a:solidFill>
                <a:srgbClr val="000000"/>
              </a:solidFill>
              <a:ln>
                <a:noFill/>
              </a:ln>
            </cx:spPr>
          </cx:dataPt>
          <cx:dataPt idx="2">
            <cx:spPr>
              <a:solidFill>
                <a:srgbClr val="000000"/>
              </a:solidFill>
              <a:ln>
                <a:noFill/>
              </a:ln>
            </cx:spPr>
          </cx:dataPt>
          <cx:dataPt idx="3">
            <cx:spPr>
              <a:solidFill>
                <a:srgbClr val="E8E6E9"/>
              </a:solidFill>
              <a:ln>
                <a:noFill/>
              </a:ln>
            </cx:spPr>
          </cx:dataPt>
          <cx:dataPt idx="4">
            <cx:spPr>
              <a:solidFill>
                <a:srgbClr val="9EF04E"/>
              </a:solidFill>
              <a:ln>
                <a:noFill/>
              </a:ln>
            </cx:spPr>
          </cx:dataPt>
          <cx:dataLabels pos="outEnd">
            <cx:numFmt formatCode="0,00%" sourceLinked="0"/>
            <cx:visibility seriesName="0" categoryName="0" value="1"/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/>
    <cx:plotArea>
      <cx:plotAreaRegion>
        <cx:series layoutId="sunburst" uniqueId="{64C156D8-63DE-184B-9FB9-80CEBB59C61C}"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size">
        <cx:f>_xlchart.v1.40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sunburst" uniqueId="{64C156D8-63DE-184B-9FB9-80CEBB59C61C}">
          <cx:spPr>
            <a:solidFill>
              <a:srgbClr val="E0E0E0"/>
            </a:solidFill>
            <a:ln>
              <a:solidFill>
                <a:schemeClr val="bg1"/>
              </a:solidFill>
            </a:ln>
          </cx:spPr>
          <cx:dataPt idx="0">
            <cx:spPr>
              <a:solidFill>
                <a:srgbClr val="E0E0E0"/>
              </a:solidFill>
            </cx:spPr>
          </cx:dataPt>
          <cx:dataPt idx="1">
            <cx:spPr>
              <a:solidFill>
                <a:srgbClr val="E0E0E0"/>
              </a:solidFill>
            </cx:spPr>
          </cx:dataPt>
          <cx:dataPt idx="2">
            <cx:spPr>
              <a:solidFill>
                <a:srgbClr val="000000"/>
              </a:solidFill>
            </cx:spPr>
          </cx:dataPt>
          <cx:dataPt idx="4">
            <cx:spPr>
              <a:solidFill>
                <a:srgbClr val="000000"/>
              </a:solidFill>
            </cx:spPr>
          </cx:dataPt>
          <cx:dataPt idx="7">
            <cx:spPr>
              <a:solidFill>
                <a:srgbClr val="9EF04E"/>
              </a:solidFill>
            </cx:spPr>
          </cx:dataPt>
          <cx:dataPt idx="11">
            <cx:spPr>
              <a:solidFill>
                <a:srgbClr val="9EF04E"/>
              </a:solidFill>
            </cx:spPr>
          </cx:dataPt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sz="800" b="1" i="0">
                    <a:solidFill>
                      <a:schemeClr val="bg1"/>
                    </a:solidFill>
                    <a:latin typeface="Segoe UI Semibold" panose="020B0502040204020203" pitchFamily="34" charset="0"/>
                    <a:ea typeface="Segoe UI Semibold" panose="020B0502040204020203" pitchFamily="34" charset="0"/>
                    <a:cs typeface="Segoe UI Semibold" panose="020B0502040204020203" pitchFamily="34" charset="0"/>
                  </a:defRPr>
                </a:pPr>
                <a:endParaRPr lang="pt-BR" sz="800" b="1" i="0" u="none" strike="noStrike" baseline="0">
                  <a:solidFill>
                    <a:schemeClr val="bg1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endParaRPr>
              </a:p>
            </cx:txPr>
            <cx:visibility seriesName="0" categoryName="1" value="0"/>
            <cx:separator>, </cx:separator>
            <cx:dataLabel idx="0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1A3312"/>
                      </a:solidFill>
                    </a:defRPr>
                  </a:pPr>
                  <a:r>
                    <a:rPr lang="pt-BR" sz="900" b="1" i="0" u="none" strike="noStrike" baseline="0">
                      <a:solidFill>
                        <a:srgbClr val="1A3312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Core</a:t>
                  </a:r>
                </a:p>
              </cx:txPr>
            </cx:dataLabel>
            <cx:dataLabel idx="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1A3312"/>
                      </a:solidFill>
                    </a:defRPr>
                  </a:pPr>
                  <a:r>
                    <a:rPr lang="pt-BR" sz="800" b="1" i="0" u="none" strike="noStrike" baseline="0">
                      <a:solidFill>
                        <a:srgbClr val="1A3312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No Extras</a:t>
                  </a:r>
                </a:p>
              </cx:txPr>
            </cx:dataLabel>
            <cx:dataLabel idx="2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/>
                  </a:pPr>
                  <a:r>
                    <a:rPr lang="pt-BR" sz="800" b="1" i="0" u="none" strike="noStrike" baseline="0">
                      <a:solidFill>
                        <a:schemeClr val="bg1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Standard</a:t>
                  </a:r>
                </a:p>
              </cx:txPr>
            </cx:dataLabel>
            <cx:dataLabel idx="4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 sz="800"/>
                  </a:pPr>
                  <a:r>
                    <a:rPr lang="pt-BR" sz="800" b="1" i="0" u="none" strike="noStrike" baseline="0">
                      <a:solidFill>
                        <a:schemeClr val="bg1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Minecraft</a:t>
                  </a:r>
                </a:p>
              </cx:txPr>
            </cx:dataLabel>
            <cx:dataLabel idx="7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1A3312"/>
                      </a:solidFill>
                    </a:defRPr>
                  </a:pPr>
                  <a:r>
                    <a:rPr lang="pt-BR" sz="800" b="1" i="0" u="none" strike="noStrike" baseline="0">
                      <a:solidFill>
                        <a:srgbClr val="1A3312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Ultimate</a:t>
                  </a:r>
                </a:p>
              </cx:txPr>
              <cx:visibility seriesName="0" categoryName="1" value="0"/>
              <cx:separator>, </cx:separator>
            </cx:dataLabel>
            <cx:dataLabel idx="11">
              <cx:txPr>
                <a:bodyPr spcFirstLastPara="1" vertOverflow="ellipsis" horzOverflow="overflow" wrap="square" lIns="0" tIns="0" rIns="0" bIns="0" anchor="ctr" anchorCtr="1"/>
                <a:lstStyle/>
                <a:p>
                  <a:pPr algn="ctr" rtl="0">
                    <a:defRPr>
                      <a:solidFill>
                        <a:srgbClr val="1A3312"/>
                      </a:solidFill>
                    </a:defRPr>
                  </a:pPr>
                  <a:r>
                    <a:rPr lang="pt-BR" sz="800" b="1" i="0" u="none" strike="noStrike" baseline="0">
                      <a:solidFill>
                        <a:srgbClr val="1A3312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EA Play + Minecraft</a:t>
                  </a:r>
                </a:p>
              </cx:txPr>
            </cx:dataLabel>
          </cx:dataLabels>
          <cx:dataId val="0"/>
        </cx:series>
      </cx:plotAreaRegion>
    </cx:plotArea>
  </cx:chart>
  <cx:spPr>
    <a:noFill/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_xlchart.v1.50</cx:f>
      </cx:strDim>
      <cx:numDim type="val">
        <cx:f>_xlchart.v1.52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waterfall" uniqueId="{C44E5AB3-71F8-6549-A269-59B031BB2D78}" formatIdx="0">
          <cx:tx>
            <cx:txData>
              <cx:f>_xlchart.v1.51</cx:f>
              <cx:v>Faturamento</cx:v>
            </cx:txData>
          </cx:tx>
          <cx:spPr>
            <a:ln>
              <a:noFill/>
            </a:ln>
          </cx:spPr>
          <cx:dataPt idx="0">
            <cx:spPr>
              <a:solidFill>
                <a:srgbClr val="000000"/>
              </a:solidFill>
              <a:ln>
                <a:noFill/>
              </a:ln>
            </cx:spPr>
          </cx:dataPt>
          <cx:dataPt idx="1">
            <cx:spPr>
              <a:solidFill>
                <a:srgbClr val="000000"/>
              </a:solidFill>
              <a:ln>
                <a:noFill/>
              </a:ln>
            </cx:spPr>
          </cx:dataPt>
          <cx:dataPt idx="2">
            <cx:spPr>
              <a:solidFill>
                <a:srgbClr val="000000"/>
              </a:solidFill>
              <a:ln>
                <a:noFill/>
              </a:ln>
            </cx:spPr>
          </cx:dataPt>
          <cx:dataPt idx="3">
            <cx:spPr>
              <a:solidFill>
                <a:srgbClr val="E8E6E9"/>
              </a:solidFill>
              <a:ln>
                <a:noFill/>
              </a:ln>
            </cx:spPr>
          </cx:dataPt>
          <cx:dataPt idx="4">
            <cx:spPr>
              <a:solidFill>
                <a:srgbClr val="9EF04E"/>
              </a:solidFill>
              <a:ln>
                <a:noFill/>
              </a:ln>
            </cx:spPr>
          </cx:dataPt>
          <cx:dataLabels pos="outEnd"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 b="1" i="0">
                    <a:latin typeface="Segoe UI" panose="020B0502040204020203" pitchFamily="34" charset="0"/>
                    <a:ea typeface="Segoe UI" panose="020B0502040204020203" pitchFamily="34" charset="0"/>
                    <a:cs typeface="Segoe UI" panose="020B0502040204020203" pitchFamily="34" charset="0"/>
                  </a:defRPr>
                </a:pPr>
                <a:endParaRPr lang="pt-BR" sz="900" b="1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cx:txPr>
            <cx:visibility seriesName="0" categoryName="0" value="1"/>
          </cx:dataLabels>
          <cx:dataId val="0"/>
          <cx:layoutPr>
            <cx:visibility connectorLines="1"/>
            <cx:subtotals>
              <cx:idx val="4"/>
            </cx:subtotals>
          </cx:layoutPr>
        </cx:series>
      </cx:plotAreaRegion>
      <cx:axis id="0">
        <cx:catScaling gapWidth="0.5"/>
        <cx:tickLabels/>
        <cx:spPr>
          <a:ln>
            <a:noFill/>
          </a:ln>
        </cx:spPr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900" b="1" i="0">
                <a:solidFill>
                  <a:srgbClr val="1A3312"/>
                </a:solidFill>
                <a:latin typeface="Segoe UI Semibold" panose="020B0502040204020203" pitchFamily="34" charset="0"/>
                <a:ea typeface="Segoe UI Semibold" panose="020B0502040204020203" pitchFamily="34" charset="0"/>
                <a:cs typeface="Segoe UI Semibold" panose="020B0502040204020203" pitchFamily="34" charset="0"/>
              </a:defRPr>
            </a:pPr>
            <a:endParaRPr lang="pt-BR" sz="900" b="1" i="0" u="none" strike="noStrike" baseline="0">
              <a:solidFill>
                <a:srgbClr val="1A3312"/>
              </a:solidFill>
              <a:latin typeface="Segoe UI Semibold" panose="020B0502040204020203" pitchFamily="34" charset="0"/>
              <a:cs typeface="Segoe UI Semibold" panose="020B0502040204020203" pitchFamily="34" charset="0"/>
            </a:endParaRPr>
          </a:p>
        </cx:txPr>
      </cx:axis>
      <cx:axis id="1" hidden="1">
        <cx:valScaling/>
        <cx:tickLabels/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2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8.svg"/><Relationship Id="rId3" Type="http://schemas.openxmlformats.org/officeDocument/2006/relationships/image" Target="../media/image13.svg"/><Relationship Id="rId7" Type="http://schemas.openxmlformats.org/officeDocument/2006/relationships/image" Target="../media/image16.png"/><Relationship Id="rId12" Type="http://schemas.openxmlformats.org/officeDocument/2006/relationships/image" Target="../media/image17.png"/><Relationship Id="rId2" Type="http://schemas.openxmlformats.org/officeDocument/2006/relationships/image" Target="../media/image12.png"/><Relationship Id="rId1" Type="http://schemas.openxmlformats.org/officeDocument/2006/relationships/image" Target="../media/image2.png"/><Relationship Id="rId6" Type="http://schemas.openxmlformats.org/officeDocument/2006/relationships/chart" Target="../charts/chart5.xml"/><Relationship Id="rId11" Type="http://schemas.openxmlformats.org/officeDocument/2006/relationships/hyperlink" Target="#D&#819;ashboard!A1"/><Relationship Id="rId5" Type="http://schemas.openxmlformats.org/officeDocument/2006/relationships/image" Target="../media/image15.svg"/><Relationship Id="rId10" Type="http://schemas.openxmlformats.org/officeDocument/2006/relationships/image" Target="../media/image10.svg"/><Relationship Id="rId4" Type="http://schemas.openxmlformats.org/officeDocument/2006/relationships/image" Target="../media/image14.png"/><Relationship Id="rId9" Type="http://schemas.openxmlformats.org/officeDocument/2006/relationships/image" Target="../media/image9.png"/><Relationship Id="rId14" Type="http://schemas.microsoft.com/office/2014/relationships/chartEx" Target="../charts/chartEx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chart" Target="../charts/chart8.xml"/><Relationship Id="rId3" Type="http://schemas.openxmlformats.org/officeDocument/2006/relationships/image" Target="../media/image20.png"/><Relationship Id="rId7" Type="http://schemas.openxmlformats.org/officeDocument/2006/relationships/image" Target="../media/image13.svg"/><Relationship Id="rId12" Type="http://schemas.microsoft.com/office/2014/relationships/chartEx" Target="../charts/chartEx4.xml"/><Relationship Id="rId2" Type="http://schemas.openxmlformats.org/officeDocument/2006/relationships/image" Target="../media/image19.png"/><Relationship Id="rId16" Type="http://schemas.openxmlformats.org/officeDocument/2006/relationships/hyperlink" Target="#D&#819;ashboard_product!A1"/><Relationship Id="rId1" Type="http://schemas.openxmlformats.org/officeDocument/2006/relationships/image" Target="../media/image2.png"/><Relationship Id="rId6" Type="http://schemas.openxmlformats.org/officeDocument/2006/relationships/image" Target="../media/image12.png"/><Relationship Id="rId11" Type="http://schemas.openxmlformats.org/officeDocument/2006/relationships/chart" Target="../charts/chart7.xml"/><Relationship Id="rId5" Type="http://schemas.openxmlformats.org/officeDocument/2006/relationships/image" Target="../media/image10.svg"/><Relationship Id="rId15" Type="http://schemas.openxmlformats.org/officeDocument/2006/relationships/image" Target="../media/image22.svg"/><Relationship Id="rId10" Type="http://schemas.openxmlformats.org/officeDocument/2006/relationships/chart" Target="../charts/chart6.xml"/><Relationship Id="rId4" Type="http://schemas.openxmlformats.org/officeDocument/2006/relationships/image" Target="../media/image9.png"/><Relationship Id="rId9" Type="http://schemas.openxmlformats.org/officeDocument/2006/relationships/image" Target="../media/image15.svg"/><Relationship Id="rId1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63500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63500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14</xdr:row>
      <xdr:rowOff>184150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53975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26</xdr:row>
      <xdr:rowOff>101599</xdr:rowOff>
    </xdr:from>
    <xdr:to>
      <xdr:col>4</xdr:col>
      <xdr:colOff>168351</xdr:colOff>
      <xdr:row>30</xdr:row>
      <xdr:rowOff>92075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20775" y="5435599"/>
          <a:ext cx="17399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3</xdr:col>
      <xdr:colOff>375374</xdr:colOff>
      <xdr:row>23</xdr:row>
      <xdr:rowOff>50800</xdr:rowOff>
    </xdr:from>
    <xdr:to>
      <xdr:col>4</xdr:col>
      <xdr:colOff>328130</xdr:colOff>
      <xdr:row>26</xdr:row>
      <xdr:rowOff>105156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5AF095C-6A0F-FF41-837F-A805FE0F4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4674" y="4610100"/>
          <a:ext cx="625856" cy="625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38100</xdr:colOff>
      <xdr:row>19</xdr:row>
      <xdr:rowOff>177800</xdr:rowOff>
    </xdr:from>
    <xdr:to>
      <xdr:col>12</xdr:col>
      <xdr:colOff>32751</xdr:colOff>
      <xdr:row>38</xdr:row>
      <xdr:rowOff>98525</xdr:rowOff>
    </xdr:to>
    <xdr:grpSp>
      <xdr:nvGrpSpPr>
        <xdr:cNvPr id="4" name="Agrupar 3">
          <a:extLst>
            <a:ext uri="{FF2B5EF4-FFF2-40B4-BE49-F238E27FC236}">
              <a16:creationId xmlns:a16="http://schemas.microsoft.com/office/drawing/2014/main" id="{3492CF5A-67ED-3C4E-BED1-B2A826A2A25F}"/>
            </a:ext>
          </a:extLst>
        </xdr:cNvPr>
        <xdr:cNvGrpSpPr/>
      </xdr:nvGrpSpPr>
      <xdr:grpSpPr>
        <a:xfrm>
          <a:off x="5689600" y="4178300"/>
          <a:ext cx="2013951" cy="3540225"/>
          <a:chOff x="115131" y="1529790"/>
          <a:chExt cx="2002536" cy="3116977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B3B7731B-6568-2233-426A-BA04C1B9B0DA}"/>
              </a:ext>
            </a:extLst>
          </xdr:cNvPr>
          <xdr:cNvGrpSpPr/>
        </xdr:nvGrpSpPr>
        <xdr:grpSpPr>
          <a:xfrm>
            <a:off x="116274" y="1529790"/>
            <a:ext cx="2000250" cy="1217834"/>
            <a:chOff x="91440" y="1554480"/>
            <a:chExt cx="2000250" cy="1186660"/>
          </a:xfrm>
          <a:noFill/>
        </xdr:grpSpPr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20" name="Subscription Type 8">
                  <a:extLst>
                    <a:ext uri="{FF2B5EF4-FFF2-40B4-BE49-F238E27FC236}">
                      <a16:creationId xmlns:a16="http://schemas.microsoft.com/office/drawing/2014/main" id="{58E81D51-7B8B-91E3-4BE1-32C1F37BB14B}"/>
                    </a:ext>
                  </a:extLst>
                </xdr:cNvPr>
                <xdr:cNvGraphicFramePr>
                  <a:graphicFrameLocks noChangeAspect="1"/>
                </xdr:cNvGraphicFramePr>
              </xdr:nvGraphicFramePr>
              <xdr:xfrm>
                <a:off x="91440" y="1554480"/>
                <a:ext cx="2000250" cy="1186660"/>
              </xdr:xfrm>
              <a:graphic>
                <a:graphicData uri="http://schemas.microsoft.com/office/drawing/2010/slicer">
                  <sle:slicer xmlns:sle="http://schemas.microsoft.com/office/drawing/2010/slicer" name="Subscription Type 8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690750" y="4178300"/>
                  <a:ext cx="2011652" cy="138320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21" name="Retângulo 20">
              <a:extLst>
                <a:ext uri="{FF2B5EF4-FFF2-40B4-BE49-F238E27FC236}">
                  <a16:creationId xmlns:a16="http://schemas.microsoft.com/office/drawing/2014/main" id="{F25B66F2-9B84-0808-9246-D61C06EE7F19}"/>
                </a:ext>
              </a:extLst>
            </xdr:cNvPr>
            <xdr:cNvSpPr/>
          </xdr:nvSpPr>
          <xdr:spPr>
            <a:xfrm>
              <a:off x="91440" y="1558465"/>
              <a:ext cx="1269274" cy="266111"/>
            </a:xfrm>
            <a:prstGeom prst="rect">
              <a:avLst/>
            </a:prstGeom>
            <a:grp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000" b="1" i="0">
                  <a:solidFill>
                    <a:srgbClr val="FFFFFF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Subscription Type</a:t>
              </a:r>
            </a:p>
          </xdr:txBody>
        </xdr:sp>
      </xdr:grpSp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18B0C56E-9FBE-FBF1-F304-527B82EA8A8B}"/>
              </a:ext>
            </a:extLst>
          </xdr:cNvPr>
          <xdr:cNvGrpSpPr/>
        </xdr:nvGrpSpPr>
        <xdr:grpSpPr>
          <a:xfrm>
            <a:off x="115131" y="2624668"/>
            <a:ext cx="2002536" cy="1197864"/>
            <a:chOff x="104954" y="2895601"/>
            <a:chExt cx="2002536" cy="1197864"/>
          </a:xfrm>
        </xdr:grpSpPr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8" name="EA Play Season Pass 7">
                  <a:extLst>
                    <a:ext uri="{FF2B5EF4-FFF2-40B4-BE49-F238E27FC236}">
                      <a16:creationId xmlns:a16="http://schemas.microsoft.com/office/drawing/2014/main" id="{A374C0BC-7101-9620-4B31-1A8F150C01AF}"/>
                    </a:ext>
                  </a:extLst>
                </xdr:cNvPr>
                <xdr:cNvGraphicFramePr/>
              </xdr:nvGraphicFramePr>
              <xdr:xfrm>
                <a:off x="104954" y="2895601"/>
                <a:ext cx="2002536" cy="1197864"/>
              </xdr:xfrm>
              <a:graphic>
                <a:graphicData uri="http://schemas.microsoft.com/office/drawing/2010/slicer">
                  <sle:slicer xmlns:sle="http://schemas.microsoft.com/office/drawing/2010/slicer" name="EA Play Season Pass 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689600" y="5421849"/>
                  <a:ext cx="2013951" cy="1360520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9" name="Retângulo 18">
              <a:extLst>
                <a:ext uri="{FF2B5EF4-FFF2-40B4-BE49-F238E27FC236}">
                  <a16:creationId xmlns:a16="http://schemas.microsoft.com/office/drawing/2014/main" id="{A6127461-CE9A-FDE8-B7A3-F4903D088C1D}"/>
                </a:ext>
              </a:extLst>
            </xdr:cNvPr>
            <xdr:cNvSpPr/>
          </xdr:nvSpPr>
          <xdr:spPr>
            <a:xfrm>
              <a:off x="125308" y="2902602"/>
              <a:ext cx="1269273" cy="27310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000" b="1" i="0">
                  <a:solidFill>
                    <a:srgbClr val="FFFFFF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EA Play Season</a:t>
              </a:r>
            </a:p>
          </xdr:txBody>
        </xdr:sp>
      </xdr:grpSp>
      <xdr:grpSp>
        <xdr:nvGrpSpPr>
          <xdr:cNvPr id="11" name="Agrupar 10">
            <a:extLst>
              <a:ext uri="{FF2B5EF4-FFF2-40B4-BE49-F238E27FC236}">
                <a16:creationId xmlns:a16="http://schemas.microsoft.com/office/drawing/2014/main" id="{458B011E-A52C-8ABF-51D8-002966CFC567}"/>
              </a:ext>
            </a:extLst>
          </xdr:cNvPr>
          <xdr:cNvGrpSpPr/>
        </xdr:nvGrpSpPr>
        <xdr:grpSpPr>
          <a:xfrm>
            <a:off x="115131" y="3448902"/>
            <a:ext cx="2002536" cy="1197865"/>
            <a:chOff x="93134" y="3719835"/>
            <a:chExt cx="2002536" cy="1197865"/>
          </a:xfrm>
        </xdr:grpSpPr>
        <mc:AlternateContent xmlns:mc="http://schemas.openxmlformats.org/markup-compatibility/2006">
          <mc:Choice xmlns:a14="http://schemas.microsoft.com/office/drawing/2010/main" Requires="a14">
            <xdr:graphicFrame macro="">
              <xdr:nvGraphicFramePr>
                <xdr:cNvPr id="13" name="Minecraft Season Pass 7">
                  <a:extLst>
                    <a:ext uri="{FF2B5EF4-FFF2-40B4-BE49-F238E27FC236}">
                      <a16:creationId xmlns:a16="http://schemas.microsoft.com/office/drawing/2014/main" id="{AA8A4D56-5560-055F-C327-82A4EA5CAA6E}"/>
                    </a:ext>
                  </a:extLst>
                </xdr:cNvPr>
                <xdr:cNvGraphicFramePr/>
              </xdr:nvGraphicFramePr>
              <xdr:xfrm>
                <a:off x="93134" y="3719835"/>
                <a:ext cx="2002536" cy="1197865"/>
              </xdr:xfrm>
              <a:graphic>
                <a:graphicData uri="http://schemas.microsoft.com/office/drawing/2010/slicer">
                  <sle:slicer xmlns:sle="http://schemas.microsoft.com/office/drawing/2010/slicer" name="Minecraft Season Pass 7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5689600" y="6358004"/>
                  <a:ext cx="2013951" cy="1360521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    </a:r>
                </a:p>
              </xdr:txBody>
            </xdr:sp>
          </mc:Fallback>
        </mc:AlternateContent>
        <xdr:sp macro="" textlink="">
          <xdr:nvSpPr>
            <xdr:cNvPr id="15" name="Retângulo 14">
              <a:extLst>
                <a:ext uri="{FF2B5EF4-FFF2-40B4-BE49-F238E27FC236}">
                  <a16:creationId xmlns:a16="http://schemas.microsoft.com/office/drawing/2014/main" id="{1BCBEA68-869E-E79E-79D8-531C8A0AEFE9}"/>
                </a:ext>
              </a:extLst>
            </xdr:cNvPr>
            <xdr:cNvSpPr/>
          </xdr:nvSpPr>
          <xdr:spPr>
            <a:xfrm>
              <a:off x="94713" y="3734343"/>
              <a:ext cx="1269274" cy="273102"/>
            </a:xfrm>
            <a:prstGeom prst="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000" b="1" i="0">
                  <a:solidFill>
                    <a:srgbClr val="FFFFFF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Minecraft Season</a:t>
              </a:r>
            </a:p>
          </xdr:txBody>
        </xdr:sp>
      </xdr:grpSp>
    </xdr:grpSp>
    <xdr:clientData/>
  </xdr:twoCellAnchor>
  <xdr:twoCellAnchor>
    <xdr:from>
      <xdr:col>14</xdr:col>
      <xdr:colOff>0</xdr:colOff>
      <xdr:row>26</xdr:row>
      <xdr:rowOff>0</xdr:rowOff>
    </xdr:from>
    <xdr:to>
      <xdr:col>15</xdr:col>
      <xdr:colOff>31066</xdr:colOff>
      <xdr:row>26</xdr:row>
      <xdr:rowOff>184944</xdr:rowOff>
    </xdr:to>
    <xdr:grpSp>
      <xdr:nvGrpSpPr>
        <xdr:cNvPr id="22" name="Agrupar 21">
          <a:extLst>
            <a:ext uri="{FF2B5EF4-FFF2-40B4-BE49-F238E27FC236}">
              <a16:creationId xmlns:a16="http://schemas.microsoft.com/office/drawing/2014/main" id="{0BBEC93E-7A06-1749-AE3F-41BE2F4584FC}"/>
            </a:ext>
          </a:extLst>
        </xdr:cNvPr>
        <xdr:cNvGrpSpPr/>
      </xdr:nvGrpSpPr>
      <xdr:grpSpPr>
        <a:xfrm>
          <a:off x="9017000" y="5334000"/>
          <a:ext cx="704166" cy="184944"/>
          <a:chOff x="3426822" y="66051"/>
          <a:chExt cx="701802" cy="184944"/>
        </a:xfrm>
      </xdr:grpSpPr>
      <xdr:sp macro="" textlink="">
        <xdr:nvSpPr>
          <xdr:cNvPr id="23" name="Forma Livre 22">
            <a:extLst>
              <a:ext uri="{FF2B5EF4-FFF2-40B4-BE49-F238E27FC236}">
                <a16:creationId xmlns:a16="http://schemas.microsoft.com/office/drawing/2014/main" id="{47AEA55B-5929-DD24-9B0A-27C599C791A0}"/>
              </a:ext>
            </a:extLst>
          </xdr:cNvPr>
          <xdr:cNvSpPr/>
        </xdr:nvSpPr>
        <xdr:spPr>
          <a:xfrm>
            <a:off x="3697035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4" name="Forma Livre 23">
            <a:extLst>
              <a:ext uri="{FF2B5EF4-FFF2-40B4-BE49-F238E27FC236}">
                <a16:creationId xmlns:a16="http://schemas.microsoft.com/office/drawing/2014/main" id="{B342BB33-7FEE-6F12-AE7B-742DC2AA292C}"/>
              </a:ext>
            </a:extLst>
          </xdr:cNvPr>
          <xdr:cNvSpPr/>
        </xdr:nvSpPr>
        <xdr:spPr>
          <a:xfrm>
            <a:off x="3877177" y="66051"/>
            <a:ext cx="251447" cy="184944"/>
          </a:xfrm>
          <a:custGeom>
            <a:avLst/>
            <a:gdLst>
              <a:gd name="connsiteX0" fmla="*/ 93824 w 251447"/>
              <a:gd name="connsiteY0" fmla="*/ 92472 h 184944"/>
              <a:gd name="connsiteX1" fmla="*/ 251448 w 251447"/>
              <a:gd name="connsiteY1" fmla="*/ 0 h 184944"/>
              <a:gd name="connsiteX2" fmla="*/ 157624 w 251447"/>
              <a:gd name="connsiteY2" fmla="*/ 0 h 184944"/>
              <a:gd name="connsiteX3" fmla="*/ 0 w 251447"/>
              <a:gd name="connsiteY3" fmla="*/ 92472 h 184944"/>
              <a:gd name="connsiteX4" fmla="*/ 157624 w 251447"/>
              <a:gd name="connsiteY4" fmla="*/ 184945 h 184944"/>
              <a:gd name="connsiteX5" fmla="*/ 251448 w 251447"/>
              <a:gd name="connsiteY5" fmla="*/ 184945 h 184944"/>
              <a:gd name="connsiteX6" fmla="*/ 93824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93824" y="92472"/>
                </a:move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5" name="Forma Livre 24">
            <a:extLst>
              <a:ext uri="{FF2B5EF4-FFF2-40B4-BE49-F238E27FC236}">
                <a16:creationId xmlns:a16="http://schemas.microsoft.com/office/drawing/2014/main" id="{E8D85A3A-E6E4-8DEA-2773-A091F9648A1F}"/>
              </a:ext>
            </a:extLst>
          </xdr:cNvPr>
          <xdr:cNvSpPr/>
        </xdr:nvSpPr>
        <xdr:spPr>
          <a:xfrm>
            <a:off x="3516893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6" name="Forma Livre 25">
            <a:extLst>
              <a:ext uri="{FF2B5EF4-FFF2-40B4-BE49-F238E27FC236}">
                <a16:creationId xmlns:a16="http://schemas.microsoft.com/office/drawing/2014/main" id="{C51C0BD9-8213-1A99-42C4-7F4338529FFA}"/>
              </a:ext>
            </a:extLst>
          </xdr:cNvPr>
          <xdr:cNvSpPr/>
        </xdr:nvSpPr>
        <xdr:spPr>
          <a:xfrm>
            <a:off x="3606964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7" name="Forma Livre 26">
            <a:extLst>
              <a:ext uri="{FF2B5EF4-FFF2-40B4-BE49-F238E27FC236}">
                <a16:creationId xmlns:a16="http://schemas.microsoft.com/office/drawing/2014/main" id="{919A7069-C6E7-5311-E1F7-C2EED3CE6AE5}"/>
              </a:ext>
            </a:extLst>
          </xdr:cNvPr>
          <xdr:cNvSpPr/>
        </xdr:nvSpPr>
        <xdr:spPr>
          <a:xfrm>
            <a:off x="3787106" y="66051"/>
            <a:ext cx="251447" cy="184944"/>
          </a:xfrm>
          <a:custGeom>
            <a:avLst/>
            <a:gdLst>
              <a:gd name="connsiteX0" fmla="*/ 93824 w 251447"/>
              <a:gd name="connsiteY0" fmla="*/ 92472 h 184944"/>
              <a:gd name="connsiteX1" fmla="*/ 251448 w 251447"/>
              <a:gd name="connsiteY1" fmla="*/ 0 h 184944"/>
              <a:gd name="connsiteX2" fmla="*/ 157624 w 251447"/>
              <a:gd name="connsiteY2" fmla="*/ 0 h 184944"/>
              <a:gd name="connsiteX3" fmla="*/ 0 w 251447"/>
              <a:gd name="connsiteY3" fmla="*/ 92472 h 184944"/>
              <a:gd name="connsiteX4" fmla="*/ 157624 w 251447"/>
              <a:gd name="connsiteY4" fmla="*/ 184945 h 184944"/>
              <a:gd name="connsiteX5" fmla="*/ 251448 w 251447"/>
              <a:gd name="connsiteY5" fmla="*/ 184945 h 184944"/>
              <a:gd name="connsiteX6" fmla="*/ 93824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93824" y="92472"/>
                </a:move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8" name="Forma Livre 27">
            <a:extLst>
              <a:ext uri="{FF2B5EF4-FFF2-40B4-BE49-F238E27FC236}">
                <a16:creationId xmlns:a16="http://schemas.microsoft.com/office/drawing/2014/main" id="{E46A8C52-0EF5-7B36-8959-483DF8FCF7F2}"/>
              </a:ext>
            </a:extLst>
          </xdr:cNvPr>
          <xdr:cNvSpPr/>
        </xdr:nvSpPr>
        <xdr:spPr>
          <a:xfrm>
            <a:off x="3426822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2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5C020AB4-11FD-964C-8181-EFD7E7D4C784}"/>
            </a:ext>
          </a:extLst>
        </xdr:cNvPr>
        <xdr:cNvSpPr>
          <a:spLocks noChangeAspect="1" noChangeArrowheads="1"/>
        </xdr:cNvSpPr>
      </xdr:nvSpPr>
      <xdr:spPr bwMode="auto">
        <a:xfrm>
          <a:off x="17754600" y="121920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95249</xdr:rowOff>
    </xdr:to>
    <xdr:sp macro="" textlink="">
      <xdr:nvSpPr>
        <xdr:cNvPr id="3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1EE966B-AFA9-374A-AEC6-BCD87A4C2F03}"/>
            </a:ext>
          </a:extLst>
        </xdr:cNvPr>
        <xdr:cNvSpPr>
          <a:spLocks noChangeAspect="1" noChangeArrowheads="1"/>
        </xdr:cNvSpPr>
      </xdr:nvSpPr>
      <xdr:spPr bwMode="auto">
        <a:xfrm>
          <a:off x="18554700" y="121920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117185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2</xdr:col>
      <xdr:colOff>1124337</xdr:colOff>
      <xdr:row>10</xdr:row>
      <xdr:rowOff>30850</xdr:rowOff>
    </xdr:from>
    <xdr:to>
      <xdr:col>4</xdr:col>
      <xdr:colOff>591334</xdr:colOff>
      <xdr:row>17</xdr:row>
      <xdr:rowOff>33094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82E23F77-0EBC-00CE-A8E4-33E7FD5C3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313266</xdr:colOff>
      <xdr:row>9</xdr:row>
      <xdr:rowOff>169334</xdr:rowOff>
    </xdr:from>
    <xdr:to>
      <xdr:col>13</xdr:col>
      <xdr:colOff>584200</xdr:colOff>
      <xdr:row>21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F57416-274C-A145-8CAF-965BFCD8A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118533</xdr:colOff>
      <xdr:row>25</xdr:row>
      <xdr:rowOff>59267</xdr:rowOff>
    </xdr:from>
    <xdr:to>
      <xdr:col>16</xdr:col>
      <xdr:colOff>635000</xdr:colOff>
      <xdr:row>33</xdr:row>
      <xdr:rowOff>186267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áfico 3">
              <a:extLst>
                <a:ext uri="{FF2B5EF4-FFF2-40B4-BE49-F238E27FC236}">
                  <a16:creationId xmlns:a16="http://schemas.microsoft.com/office/drawing/2014/main" id="{95388967-D156-78E3-5115-BD53079414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65433" y="4872567"/>
              <a:ext cx="3500967" cy="1651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  <xdr:twoCellAnchor>
    <xdr:from>
      <xdr:col>12</xdr:col>
      <xdr:colOff>414866</xdr:colOff>
      <xdr:row>50</xdr:row>
      <xdr:rowOff>118534</xdr:rowOff>
    </xdr:from>
    <xdr:to>
      <xdr:col>14</xdr:col>
      <xdr:colOff>203200</xdr:colOff>
      <xdr:row>58</xdr:row>
      <xdr:rowOff>84667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DA3060BA-6E1F-CF43-93D9-41EB6D5B7F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330200</xdr:colOff>
      <xdr:row>61</xdr:row>
      <xdr:rowOff>143933</xdr:rowOff>
    </xdr:from>
    <xdr:to>
      <xdr:col>12</xdr:col>
      <xdr:colOff>1532466</xdr:colOff>
      <xdr:row>68</xdr:row>
      <xdr:rowOff>0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25F3BE55-A5F6-3A99-0EAF-3AFAC0C89F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326159</xdr:colOff>
      <xdr:row>61</xdr:row>
      <xdr:rowOff>37907</xdr:rowOff>
    </xdr:from>
    <xdr:to>
      <xdr:col>4</xdr:col>
      <xdr:colOff>476635</xdr:colOff>
      <xdr:row>75</xdr:row>
      <xdr:rowOff>87168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Gráfico 9">
              <a:extLst>
                <a:ext uri="{FF2B5EF4-FFF2-40B4-BE49-F238E27FC236}">
                  <a16:creationId xmlns:a16="http://schemas.microsoft.com/office/drawing/2014/main" id="{F3717E39-FD79-2E9E-5E71-90D266E387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60023" y="11814271"/>
              <a:ext cx="44704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Este gráfico não está disponível na sua versão de Excel.
Editar esta forma ou salvar esta pasta de trabalho em um formato de arquivo diferente quebrará o gráfico permanentemente.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328589</xdr:colOff>
      <xdr:row>0</xdr:row>
      <xdr:rowOff>135467</xdr:rowOff>
    </xdr:from>
    <xdr:to>
      <xdr:col>21</xdr:col>
      <xdr:colOff>207516</xdr:colOff>
      <xdr:row>2</xdr:row>
      <xdr:rowOff>44077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7" name="Start Date 2">
              <a:extLst>
                <a:ext uri="{FF2B5EF4-FFF2-40B4-BE49-F238E27FC236}">
                  <a16:creationId xmlns:a16="http://schemas.microsoft.com/office/drawing/2014/main" id="{E9F5B8FB-F763-9047-8D70-98D8607C8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Start D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656" y="135467"/>
              <a:ext cx="5974927" cy="10600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575205</xdr:colOff>
      <xdr:row>0</xdr:row>
      <xdr:rowOff>135473</xdr:rowOff>
    </xdr:from>
    <xdr:to>
      <xdr:col>0</xdr:col>
      <xdr:colOff>1698208</xdr:colOff>
      <xdr:row>4</xdr:row>
      <xdr:rowOff>20378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EC2B667-BEC3-405A-D72D-DB522A48B7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4" t="8822" r="71616" b="8843"/>
        <a:stretch/>
      </xdr:blipFill>
      <xdr:spPr>
        <a:xfrm>
          <a:off x="575205" y="135473"/>
          <a:ext cx="1123003" cy="1408905"/>
        </a:xfrm>
        <a:prstGeom prst="rect">
          <a:avLst/>
        </a:prstGeom>
      </xdr:spPr>
    </xdr:pic>
    <xdr:clientData/>
  </xdr:twoCellAnchor>
  <xdr:twoCellAnchor editAs="absolute">
    <xdr:from>
      <xdr:col>0</xdr:col>
      <xdr:colOff>147047</xdr:colOff>
      <xdr:row>5</xdr:row>
      <xdr:rowOff>184903</xdr:rowOff>
    </xdr:from>
    <xdr:to>
      <xdr:col>0</xdr:col>
      <xdr:colOff>2152091</xdr:colOff>
      <xdr:row>10</xdr:row>
      <xdr:rowOff>177259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Subscription Type 6">
              <a:extLst>
                <a:ext uri="{FF2B5EF4-FFF2-40B4-BE49-F238E27FC236}">
                  <a16:creationId xmlns:a16="http://schemas.microsoft.com/office/drawing/2014/main" id="{4E40DC6C-1795-E8DF-7B3E-062CF245C954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047" y="1861303"/>
              <a:ext cx="2005044" cy="119462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214407</xdr:colOff>
      <xdr:row>4</xdr:row>
      <xdr:rowOff>111673</xdr:rowOff>
    </xdr:from>
    <xdr:to>
      <xdr:col>0</xdr:col>
      <xdr:colOff>693697</xdr:colOff>
      <xdr:row>6</xdr:row>
      <xdr:rowOff>4791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5EC0C5AF-0AA5-A3A5-441D-5FAF65FD2F29}"/>
            </a:ext>
          </a:extLst>
        </xdr:cNvPr>
        <xdr:cNvGrpSpPr/>
      </xdr:nvGrpSpPr>
      <xdr:grpSpPr>
        <a:xfrm>
          <a:off x="214407" y="1635673"/>
          <a:ext cx="479290" cy="468851"/>
          <a:chOff x="235752" y="1823810"/>
          <a:chExt cx="324353" cy="291706"/>
        </a:xfrm>
      </xdr:grpSpPr>
      <xdr:pic>
        <xdr:nvPicPr>
          <xdr:cNvPr id="25" name="Gráfico 24" descr="Calendário diário com preenchimento sólido">
            <a:extLst>
              <a:ext uri="{FF2B5EF4-FFF2-40B4-BE49-F238E27FC236}">
                <a16:creationId xmlns:a16="http://schemas.microsoft.com/office/drawing/2014/main" id="{627BF69F-0BE8-3440-1CC0-77D018FB526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35752" y="1823810"/>
            <a:ext cx="265734" cy="267695"/>
          </a:xfrm>
          <a:prstGeom prst="rect">
            <a:avLst/>
          </a:prstGeom>
        </xdr:spPr>
      </xdr:pic>
      <xdr:pic>
        <xdr:nvPicPr>
          <xdr:cNvPr id="26" name="Gráfico 25" descr="Filantropia com preenchimento sólido">
            <a:extLst>
              <a:ext uri="{FF2B5EF4-FFF2-40B4-BE49-F238E27FC236}">
                <a16:creationId xmlns:a16="http://schemas.microsoft.com/office/drawing/2014/main" id="{E70B9069-C00A-62F2-8CF6-D5429EF292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 rot="479244">
            <a:off x="323662" y="1877371"/>
            <a:ext cx="236443" cy="238145"/>
          </a:xfrm>
          <a:prstGeom prst="rect">
            <a:avLst/>
          </a:prstGeom>
        </xdr:spPr>
      </xdr:pic>
    </xdr:grpSp>
    <xdr:clientData/>
  </xdr:twoCellAnchor>
  <xdr:twoCellAnchor editAs="absolute">
    <xdr:from>
      <xdr:col>2</xdr:col>
      <xdr:colOff>30217</xdr:colOff>
      <xdr:row>16</xdr:row>
      <xdr:rowOff>144069</xdr:rowOff>
    </xdr:from>
    <xdr:to>
      <xdr:col>13</xdr:col>
      <xdr:colOff>520392</xdr:colOff>
      <xdr:row>33</xdr:row>
      <xdr:rowOff>133403</xdr:rowOff>
    </xdr:to>
    <xdr:grpSp>
      <xdr:nvGrpSpPr>
        <xdr:cNvPr id="54" name="Agrupar 53">
          <a:extLst>
            <a:ext uri="{FF2B5EF4-FFF2-40B4-BE49-F238E27FC236}">
              <a16:creationId xmlns:a16="http://schemas.microsoft.com/office/drawing/2014/main" id="{9AC8EBC1-5E84-A14F-8629-330AD1E6D0AD}"/>
            </a:ext>
          </a:extLst>
        </xdr:cNvPr>
        <xdr:cNvGrpSpPr/>
      </xdr:nvGrpSpPr>
      <xdr:grpSpPr>
        <a:xfrm>
          <a:off x="2731084" y="4191136"/>
          <a:ext cx="7339708" cy="3299800"/>
          <a:chOff x="2687086" y="3348580"/>
          <a:chExt cx="2863513" cy="1703954"/>
        </a:xfrm>
      </xdr:grpSpPr>
      <xdr:sp macro="" textlink="">
        <xdr:nvSpPr>
          <xdr:cNvPr id="55" name="Retângulo Arredondado 54">
            <a:extLst>
              <a:ext uri="{FF2B5EF4-FFF2-40B4-BE49-F238E27FC236}">
                <a16:creationId xmlns:a16="http://schemas.microsoft.com/office/drawing/2014/main" id="{4587E09B-49DE-9319-76F7-64E11758F2EB}"/>
              </a:ext>
            </a:extLst>
          </xdr:cNvPr>
          <xdr:cNvSpPr>
            <a:spLocks/>
          </xdr:cNvSpPr>
        </xdr:nvSpPr>
        <xdr:spPr>
          <a:xfrm>
            <a:off x="2748421" y="3348580"/>
            <a:ext cx="2683416" cy="1597758"/>
          </a:xfrm>
          <a:prstGeom prst="roundRect">
            <a:avLst>
              <a:gd name="adj" fmla="val 9736"/>
            </a:avLst>
          </a:prstGeom>
          <a:solidFill>
            <a:srgbClr val="FFFFFF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56" name="Gráfico 55">
            <a:extLst>
              <a:ext uri="{FF2B5EF4-FFF2-40B4-BE49-F238E27FC236}">
                <a16:creationId xmlns:a16="http://schemas.microsoft.com/office/drawing/2014/main" id="{745CA7FE-349C-371E-D60F-0A6BB1AC877A}"/>
              </a:ext>
            </a:extLst>
          </xdr:cNvPr>
          <xdr:cNvGraphicFramePr>
            <a:graphicFrameLocks/>
          </xdr:cNvGraphicFramePr>
        </xdr:nvGraphicFramePr>
        <xdr:xfrm>
          <a:off x="2687086" y="3659447"/>
          <a:ext cx="2863513" cy="139308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57" name="Retângulo com Canto Arredondado do Mesmo Lado 56">
            <a:extLst>
              <a:ext uri="{FF2B5EF4-FFF2-40B4-BE49-F238E27FC236}">
                <a16:creationId xmlns:a16="http://schemas.microsoft.com/office/drawing/2014/main" id="{015FBE51-E8F6-579F-ECFD-3C14E11A72C4}"/>
              </a:ext>
            </a:extLst>
          </xdr:cNvPr>
          <xdr:cNvSpPr>
            <a:spLocks noChangeAspect="1"/>
          </xdr:cNvSpPr>
        </xdr:nvSpPr>
        <xdr:spPr>
          <a:xfrm>
            <a:off x="2748421" y="3348581"/>
            <a:ext cx="2683416" cy="349982"/>
          </a:xfrm>
          <a:prstGeom prst="round2SameRect">
            <a:avLst>
              <a:gd name="adj1" fmla="val 45710"/>
              <a:gd name="adj2" fmla="val 0"/>
            </a:avLst>
          </a:prstGeom>
          <a:solidFill>
            <a:srgbClr val="00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400" b="1" i="0">
                <a:solidFill>
                  <a:srgbClr val="9EF04E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rPr>
              <a:t>Auto Renewal Total Value</a:t>
            </a:r>
          </a:p>
        </xdr:txBody>
      </xdr:sp>
    </xdr:grpSp>
    <xdr:clientData/>
  </xdr:twoCellAnchor>
  <xdr:twoCellAnchor>
    <xdr:from>
      <xdr:col>3</xdr:col>
      <xdr:colOff>411060</xdr:colOff>
      <xdr:row>7</xdr:row>
      <xdr:rowOff>130065</xdr:rowOff>
    </xdr:from>
    <xdr:to>
      <xdr:col>7</xdr:col>
      <xdr:colOff>28782</xdr:colOff>
      <xdr:row>12</xdr:row>
      <xdr:rowOff>95488</xdr:rowOff>
    </xdr:to>
    <xdr:sp macro="" textlink="C̳álculos!G33">
      <xdr:nvSpPr>
        <xdr:cNvPr id="71" name="Retângulo Arredondado 70">
          <a:extLst>
            <a:ext uri="{FF2B5EF4-FFF2-40B4-BE49-F238E27FC236}">
              <a16:creationId xmlns:a16="http://schemas.microsoft.com/office/drawing/2014/main" id="{A663D615-0C20-61C2-621C-2CD90B10B0B8}"/>
            </a:ext>
          </a:extLst>
        </xdr:cNvPr>
        <xdr:cNvSpPr/>
      </xdr:nvSpPr>
      <xdr:spPr>
        <a:xfrm>
          <a:off x="3779712" y="2255739"/>
          <a:ext cx="2319850" cy="91116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fld id="{7330C3F6-859B-A240-BE36-7A1C638ED436}" type="TxLink">
            <a:rPr lang="en-US" sz="2000" b="1" i="0" u="none" strike="noStrike">
              <a:solidFill>
                <a:schemeClr val="bg1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rPr>
            <a:pPr marL="0" indent="0" algn="ctr"/>
            <a:t> </a:t>
          </a:fld>
          <a:endParaRPr lang="pt-BR" sz="2000" b="1" i="0" u="none" strike="noStrike">
            <a:solidFill>
              <a:schemeClr val="bg1"/>
            </a:solidFill>
            <a:latin typeface="Segoe UI" panose="020B0502040204020203" pitchFamily="34" charset="0"/>
            <a:ea typeface="+mn-ea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2</xdr:col>
      <xdr:colOff>215294</xdr:colOff>
      <xdr:row>4</xdr:row>
      <xdr:rowOff>95245</xdr:rowOff>
    </xdr:from>
    <xdr:to>
      <xdr:col>20</xdr:col>
      <xdr:colOff>367548</xdr:colOff>
      <xdr:row>15</xdr:row>
      <xdr:rowOff>62072</xdr:rowOff>
    </xdr:to>
    <xdr:grpSp>
      <xdr:nvGrpSpPr>
        <xdr:cNvPr id="156" name="Agrupar 155">
          <a:extLst>
            <a:ext uri="{FF2B5EF4-FFF2-40B4-BE49-F238E27FC236}">
              <a16:creationId xmlns:a16="http://schemas.microsoft.com/office/drawing/2014/main" id="{3FA2D50D-59FD-C062-CA4C-16A8CA9A24DB}"/>
            </a:ext>
          </a:extLst>
        </xdr:cNvPr>
        <xdr:cNvGrpSpPr/>
      </xdr:nvGrpSpPr>
      <xdr:grpSpPr>
        <a:xfrm>
          <a:off x="2916161" y="1619245"/>
          <a:ext cx="11743120" cy="2295160"/>
          <a:chOff x="2892499" y="1530799"/>
          <a:chExt cx="11645754" cy="2249424"/>
        </a:xfrm>
      </xdr:grpSpPr>
      <xdr:grpSp>
        <xdr:nvGrpSpPr>
          <xdr:cNvPr id="76" name="Agrupar 75">
            <a:extLst>
              <a:ext uri="{FF2B5EF4-FFF2-40B4-BE49-F238E27FC236}">
                <a16:creationId xmlns:a16="http://schemas.microsoft.com/office/drawing/2014/main" id="{4982378B-EEA3-B44F-A6CE-3D3190AE8552}"/>
              </a:ext>
            </a:extLst>
          </xdr:cNvPr>
          <xdr:cNvGrpSpPr/>
        </xdr:nvGrpSpPr>
        <xdr:grpSpPr>
          <a:xfrm>
            <a:off x="11416191" y="1530800"/>
            <a:ext cx="3122062" cy="2249423"/>
            <a:chOff x="9142087" y="3691979"/>
            <a:chExt cx="2686498" cy="1977697"/>
          </a:xfrm>
        </xdr:grpSpPr>
        <xdr:grpSp>
          <xdr:nvGrpSpPr>
            <xdr:cNvPr id="77" name="Agrupar 76">
              <a:extLst>
                <a:ext uri="{FF2B5EF4-FFF2-40B4-BE49-F238E27FC236}">
                  <a16:creationId xmlns:a16="http://schemas.microsoft.com/office/drawing/2014/main" id="{EA6CA65D-63D4-6F78-CBA2-00F336078671}"/>
                </a:ext>
              </a:extLst>
            </xdr:cNvPr>
            <xdr:cNvGrpSpPr/>
          </xdr:nvGrpSpPr>
          <xdr:grpSpPr>
            <a:xfrm>
              <a:off x="9142087" y="3691979"/>
              <a:ext cx="2686498" cy="1977697"/>
              <a:chOff x="6941991" y="4542393"/>
              <a:chExt cx="2667363" cy="1945809"/>
            </a:xfrm>
          </xdr:grpSpPr>
          <xdr:grpSp>
            <xdr:nvGrpSpPr>
              <xdr:cNvPr id="79" name="Agrupar 78">
                <a:extLst>
                  <a:ext uri="{FF2B5EF4-FFF2-40B4-BE49-F238E27FC236}">
                    <a16:creationId xmlns:a16="http://schemas.microsoft.com/office/drawing/2014/main" id="{7E1B8D73-9536-2A22-644C-0F2F2BE90296}"/>
                  </a:ext>
                </a:extLst>
              </xdr:cNvPr>
              <xdr:cNvGrpSpPr/>
            </xdr:nvGrpSpPr>
            <xdr:grpSpPr>
              <a:xfrm>
                <a:off x="6941991" y="4544225"/>
                <a:ext cx="2667363" cy="1943977"/>
                <a:chOff x="7048526" y="3896813"/>
                <a:chExt cx="2667363" cy="1943977"/>
              </a:xfrm>
            </xdr:grpSpPr>
            <xdr:sp macro="" textlink="C̳álculos!#REF!">
              <xdr:nvSpPr>
                <xdr:cNvPr id="81" name="Retângulo Arredondado 80">
                  <a:extLst>
                    <a:ext uri="{FF2B5EF4-FFF2-40B4-BE49-F238E27FC236}">
                      <a16:creationId xmlns:a16="http://schemas.microsoft.com/office/drawing/2014/main" id="{16B76A04-FACA-7F7F-724A-A844C99355CE}"/>
                    </a:ext>
                  </a:extLst>
                </xdr:cNvPr>
                <xdr:cNvSpPr/>
              </xdr:nvSpPr>
              <xdr:spPr>
                <a:xfrm>
                  <a:off x="7048526" y="3896813"/>
                  <a:ext cx="2667363" cy="1942871"/>
                </a:xfrm>
                <a:prstGeom prst="roundRect">
                  <a:avLst/>
                </a:prstGeom>
                <a:solidFill>
                  <a:schemeClr val="tx1"/>
                </a:solidFill>
                <a:ln>
                  <a:noFill/>
                </a:ln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ctr"/>
                  <a:r>
                    <a:rPr lang="en-US" sz="1400" b="1" i="0" u="none" strike="noStrike" baseline="0">
                      <a:solidFill>
                        <a:srgbClr val="9EF04E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 Average Ticket</a:t>
                  </a:r>
                  <a:endParaRPr lang="pt-BR" sz="4800" b="1" i="0">
                    <a:solidFill>
                      <a:srgbClr val="9EF04E"/>
                    </a:solidFill>
                    <a:latin typeface="Segoe UI Semibold" panose="020B0502040204020203" pitchFamily="34" charset="0"/>
                    <a:cs typeface="Segoe UI Semibold" panose="020B0502040204020203" pitchFamily="34" charset="0"/>
                  </a:endParaRPr>
                </a:p>
              </xdr:txBody>
            </xdr:sp>
            <xdr:sp macro="" textlink="average_ticket_core">
              <xdr:nvSpPr>
                <xdr:cNvPr id="82" name="Retângulo Arredondado 81">
                  <a:extLst>
                    <a:ext uri="{FF2B5EF4-FFF2-40B4-BE49-F238E27FC236}">
                      <a16:creationId xmlns:a16="http://schemas.microsoft.com/office/drawing/2014/main" id="{3F7AC8DC-AE41-E98E-9FE1-88205A3BC1DB}"/>
                    </a:ext>
                  </a:extLst>
                </xdr:cNvPr>
                <xdr:cNvSpPr/>
              </xdr:nvSpPr>
              <xdr:spPr>
                <a:xfrm>
                  <a:off x="7060250" y="4721834"/>
                  <a:ext cx="2644728" cy="373989"/>
                </a:xfrm>
                <a:prstGeom prst="round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fld id="{B0537037-DF36-5C46-BE8B-FB6E1529FB6C}" type="TxLink">
                    <a:rPr lang="en-US" sz="1600" b="1" i="0" u="none" strike="noStrike">
                      <a:solidFill>
                        <a:srgbClr val="9EF04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R$ 5,00</a:t>
                  </a:fld>
                  <a:r>
                    <a:rPr lang="en-US" sz="1400" b="1" i="0" u="none" strike="noStrike">
                      <a:solidFill>
                        <a:srgbClr val="9EF04E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 Core</a:t>
                  </a:r>
                  <a:endParaRPr lang="pt-BR" sz="1100" b="1" i="0">
                    <a:solidFill>
                      <a:srgbClr val="9EF04E"/>
                    </a:solidFill>
                    <a:latin typeface="Segoe UI" panose="020B0502040204020203" pitchFamily="34" charset="0"/>
                    <a:cs typeface="Segoe UI" panose="020B0502040204020203" pitchFamily="34" charset="0"/>
                  </a:endParaRPr>
                </a:p>
              </xdr:txBody>
            </xdr:sp>
            <xdr:sp macro="" textlink="average_ticket_standard">
              <xdr:nvSpPr>
                <xdr:cNvPr id="83" name="Retângulo Arredondado 82">
                  <a:extLst>
                    <a:ext uri="{FF2B5EF4-FFF2-40B4-BE49-F238E27FC236}">
                      <a16:creationId xmlns:a16="http://schemas.microsoft.com/office/drawing/2014/main" id="{502509C8-33A5-F3CC-8F3E-39E6A8893031}"/>
                    </a:ext>
                  </a:extLst>
                </xdr:cNvPr>
                <xdr:cNvSpPr/>
              </xdr:nvSpPr>
              <xdr:spPr>
                <a:xfrm>
                  <a:off x="7060250" y="5094317"/>
                  <a:ext cx="2644728" cy="373989"/>
                </a:xfrm>
                <a:prstGeom prst="round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fld id="{AC645360-1790-2249-A04D-B901AA4FD463}" type="TxLink">
                    <a:rPr lang="en-US" sz="1600" b="1" i="0" u="none" strike="noStrike">
                      <a:solidFill>
                        <a:srgbClr val="9EF04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t>R$ 16,59</a:t>
                  </a:fld>
                  <a:r>
                    <a:rPr lang="en-US" sz="1200" b="1" i="0" u="none" strike="noStrike">
                      <a:solidFill>
                        <a:srgbClr val="9EF04E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 </a:t>
                  </a:r>
                  <a:r>
                    <a:rPr lang="en-US" sz="1400" b="1" i="0" u="none" strike="noStrike">
                      <a:solidFill>
                        <a:srgbClr val="9EF04E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Standard</a:t>
                  </a:r>
                  <a:endParaRPr lang="pt-BR" sz="1400" b="1" i="0">
                    <a:solidFill>
                      <a:srgbClr val="9EF04E"/>
                    </a:solidFill>
                    <a:latin typeface="Segoe UI Semibold" panose="020B0502040204020203" pitchFamily="34" charset="0"/>
                    <a:cs typeface="Segoe UI Semibold" panose="020B0502040204020203" pitchFamily="34" charset="0"/>
                  </a:endParaRPr>
                </a:p>
              </xdr:txBody>
            </xdr:sp>
            <xdr:sp macro="" textlink="average_ticket_ultimate">
              <xdr:nvSpPr>
                <xdr:cNvPr id="84" name="Retângulo Arredondado 83">
                  <a:extLst>
                    <a:ext uri="{FF2B5EF4-FFF2-40B4-BE49-F238E27FC236}">
                      <a16:creationId xmlns:a16="http://schemas.microsoft.com/office/drawing/2014/main" id="{91886B0E-4A3D-B338-8649-5166A03E0E41}"/>
                    </a:ext>
                  </a:extLst>
                </xdr:cNvPr>
                <xdr:cNvSpPr/>
              </xdr:nvSpPr>
              <xdr:spPr>
                <a:xfrm>
                  <a:off x="7060250" y="5466801"/>
                  <a:ext cx="2644728" cy="373989"/>
                </a:xfrm>
                <a:prstGeom prst="roundRect">
                  <a:avLst/>
                </a:prstGeom>
                <a:noFill/>
                <a:ln>
                  <a:noFill/>
                </a:ln>
              </xdr:spPr>
              <xdr:style>
                <a:lnRef idx="2">
                  <a:schemeClr val="dk1">
                    <a:shade val="50000"/>
                  </a:schemeClr>
                </a:lnRef>
                <a:fillRef idx="1">
                  <a:schemeClr val="dk1"/>
                </a:fillRef>
                <a:effectRef idx="0">
                  <a:schemeClr val="dk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marR="0" lvl="0" indent="0" algn="ctr" defTabSz="914400" eaLnBrk="1" fontAlgn="auto" latinLnBrk="0" hangingPunct="1">
                    <a:lnSpc>
                      <a:spcPct val="100000"/>
                    </a:lnSpc>
                    <a:spcBef>
                      <a:spcPts val="0"/>
                    </a:spcBef>
                    <a:spcAft>
                      <a:spcPts val="0"/>
                    </a:spcAft>
                    <a:buClrTx/>
                    <a:buSzTx/>
                    <a:buFontTx/>
                    <a:buNone/>
                    <a:tabLst/>
                    <a:defRPr/>
                  </a:pPr>
                  <a:fld id="{781977EA-395A-104F-82BD-E96099DA082E}" type="TxLink">
                    <a:rPr lang="en-US" sz="1600" b="1" i="0" u="none" strike="noStrike">
                      <a:solidFill>
                        <a:srgbClr val="9EF04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pPr marL="0" marR="0" lvl="0" indent="0" algn="ctr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t>R$ 54,11</a:t>
                  </a:fld>
                  <a:fld id="{9C62F990-47E4-8646-8BB6-8A07899D0540}" type="TxLink">
                    <a:rPr lang="en-US" sz="1800" b="1" i="0" u="none" strike="noStrike">
                      <a:solidFill>
                        <a:srgbClr val="9EF04E"/>
                      </a:solidFill>
                      <a:latin typeface="Segoe UI" panose="020B0502040204020203" pitchFamily="34" charset="0"/>
                      <a:cs typeface="Segoe UI" panose="020B0502040204020203" pitchFamily="34" charset="0"/>
                    </a:rPr>
                    <a:pPr marL="0" marR="0" lvl="0" indent="0" algn="ctr" defTabSz="914400" eaLnBrk="1" fontAlgn="auto" latinLnBrk="0" hangingPunct="1">
                      <a:lnSpc>
                        <a:spcPct val="100000"/>
                      </a:lnSpc>
                      <a:spcBef>
                        <a:spcPts val="0"/>
                      </a:spcBef>
                      <a:spcAft>
                        <a:spcPts val="0"/>
                      </a:spcAft>
                      <a:buClrTx/>
                      <a:buSzTx/>
                      <a:buFontTx/>
                      <a:buNone/>
                      <a:tabLst/>
                      <a:defRPr/>
                    </a:pPr>
                    <a:t> </a:t>
                  </a:fld>
                  <a:r>
                    <a:rPr lang="en-US" sz="1400" b="1" i="0" u="none" strike="noStrike" baseline="0">
                      <a:solidFill>
                        <a:srgbClr val="9EF04E"/>
                      </a:solidFill>
                      <a:latin typeface="Segoe UI Semibold" panose="020B0502040204020203" pitchFamily="34" charset="0"/>
                      <a:cs typeface="Segoe UI Semibold" panose="020B0502040204020203" pitchFamily="34" charset="0"/>
                    </a:rPr>
                    <a:t>Ultimate</a:t>
                  </a:r>
                  <a:endParaRPr lang="pt-BR" sz="6600" b="1" i="0">
                    <a:solidFill>
                      <a:srgbClr val="9EF04E"/>
                    </a:solidFill>
                    <a:latin typeface="Segoe UI Semibold" panose="020B0502040204020203" pitchFamily="34" charset="0"/>
                    <a:cs typeface="Segoe UI Semibold" panose="020B0502040204020203" pitchFamily="34" charset="0"/>
                  </a:endParaRPr>
                </a:p>
              </xdr:txBody>
            </xdr:sp>
          </xdr:grpSp>
          <xdr:sp macro="" textlink="C̳álculos!#REF!">
            <xdr:nvSpPr>
              <xdr:cNvPr id="80" name="Retângulo com Canto Arredondado do Mesmo Lado 79">
                <a:extLst>
                  <a:ext uri="{FF2B5EF4-FFF2-40B4-BE49-F238E27FC236}">
                    <a16:creationId xmlns:a16="http://schemas.microsoft.com/office/drawing/2014/main" id="{93793EBC-1702-B300-4D5D-C541BD26DD57}"/>
                  </a:ext>
                </a:extLst>
              </xdr:cNvPr>
              <xdr:cNvSpPr/>
            </xdr:nvSpPr>
            <xdr:spPr>
              <a:xfrm>
                <a:off x="6941991" y="4542393"/>
                <a:ext cx="2667363" cy="432681"/>
              </a:xfrm>
              <a:prstGeom prst="round2SameRect">
                <a:avLst>
                  <a:gd name="adj1" fmla="val 50000"/>
                  <a:gd name="adj2" fmla="val 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dk1">
                  <a:shade val="50000"/>
                </a:schemeClr>
              </a:lnRef>
              <a:fillRef idx="1">
                <a:schemeClr val="dk1"/>
              </a:fillRef>
              <a:effectRef idx="0">
                <a:schemeClr val="dk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2000" b="1" i="0" u="none" strike="noStrike" baseline="0">
                    <a:solidFill>
                      <a:srgbClr val="1A3312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Average Ticket</a:t>
                </a:r>
                <a:endParaRPr lang="pt-BR" sz="2000" b="1" i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endParaRPr>
              </a:p>
            </xdr:txBody>
          </xdr:sp>
        </xdr:grpSp>
        <xdr:sp macro="" textlink="average_ticket">
          <xdr:nvSpPr>
            <xdr:cNvPr id="78" name="Retângulo Arredondado 77">
              <a:extLst>
                <a:ext uri="{FF2B5EF4-FFF2-40B4-BE49-F238E27FC236}">
                  <a16:creationId xmlns:a16="http://schemas.microsoft.com/office/drawing/2014/main" id="{8F602F69-7C93-4047-D96C-242C473618D0}"/>
                </a:ext>
              </a:extLst>
            </xdr:cNvPr>
            <xdr:cNvSpPr/>
          </xdr:nvSpPr>
          <xdr:spPr>
            <a:xfrm>
              <a:off x="9153895" y="4153796"/>
              <a:ext cx="2663701" cy="380118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05074CD-9A61-4145-9E0D-9E28ABF5CBFC}" type="TxLink">
                <a:rPr lang="en-US" sz="1600" b="1" i="0" u="none" strike="noStrike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R$ 24,70</a:t>
              </a:fld>
              <a:r>
                <a:rPr lang="en-US" sz="1600" b="1" i="0" u="none" strike="noStrike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en-US" sz="1400" b="1" i="0" u="none" strike="noStrike">
                  <a:solidFill>
                    <a:srgbClr val="9EF04E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Total</a:t>
              </a:r>
              <a:endParaRPr lang="pt-BR" sz="1600" b="1" i="0">
                <a:solidFill>
                  <a:srgbClr val="9EF04E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endParaRPr>
            </a:p>
          </xdr:txBody>
        </xdr:sp>
      </xdr:grpSp>
      <xdr:grpSp>
        <xdr:nvGrpSpPr>
          <xdr:cNvPr id="91" name="Agrupar 90">
            <a:extLst>
              <a:ext uri="{FF2B5EF4-FFF2-40B4-BE49-F238E27FC236}">
                <a16:creationId xmlns:a16="http://schemas.microsoft.com/office/drawing/2014/main" id="{C4BEB276-C427-7529-85D6-2F575A2D61C1}"/>
              </a:ext>
            </a:extLst>
          </xdr:cNvPr>
          <xdr:cNvGrpSpPr/>
        </xdr:nvGrpSpPr>
        <xdr:grpSpPr>
          <a:xfrm>
            <a:off x="2892499" y="1532919"/>
            <a:ext cx="4080947" cy="2246026"/>
            <a:chOff x="2934344" y="1683908"/>
            <a:chExt cx="3956074" cy="2231973"/>
          </a:xfrm>
        </xdr:grpSpPr>
        <xdr:grpSp>
          <xdr:nvGrpSpPr>
            <xdr:cNvPr id="70" name="Agrupar 69">
              <a:extLst>
                <a:ext uri="{FF2B5EF4-FFF2-40B4-BE49-F238E27FC236}">
                  <a16:creationId xmlns:a16="http://schemas.microsoft.com/office/drawing/2014/main" id="{C802707C-954B-0B58-CF0C-2388FC0D0BD3}"/>
                </a:ext>
              </a:extLst>
            </xdr:cNvPr>
            <xdr:cNvGrpSpPr/>
          </xdr:nvGrpSpPr>
          <xdr:grpSpPr>
            <a:xfrm>
              <a:off x="2934344" y="1683908"/>
              <a:ext cx="3751804" cy="2231973"/>
              <a:chOff x="2748421" y="3347100"/>
              <a:chExt cx="2683416" cy="1568163"/>
            </a:xfrm>
          </xdr:grpSpPr>
          <xdr:sp macro="" textlink="">
            <xdr:nvSpPr>
              <xdr:cNvPr id="74" name="Retângulo Arredondado 73">
                <a:extLst>
                  <a:ext uri="{FF2B5EF4-FFF2-40B4-BE49-F238E27FC236}">
                    <a16:creationId xmlns:a16="http://schemas.microsoft.com/office/drawing/2014/main" id="{3C6BA35A-712D-6C42-6109-B8B8F035E083}"/>
                  </a:ext>
                </a:extLst>
              </xdr:cNvPr>
              <xdr:cNvSpPr>
                <a:spLocks/>
              </xdr:cNvSpPr>
            </xdr:nvSpPr>
            <xdr:spPr>
              <a:xfrm>
                <a:off x="2748421" y="3347100"/>
                <a:ext cx="2683416" cy="1568163"/>
              </a:xfrm>
              <a:prstGeom prst="roundRect">
                <a:avLst>
                  <a:gd name="adj" fmla="val 9736"/>
                </a:avLst>
              </a:prstGeom>
              <a:solidFill>
                <a:srgbClr val="000000"/>
              </a:solidFill>
              <a:ln>
                <a:noFill/>
              </a:ln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75" name="Retângulo com Canto Arredondado do Mesmo Lado 74">
                <a:extLst>
                  <a:ext uri="{FF2B5EF4-FFF2-40B4-BE49-F238E27FC236}">
                    <a16:creationId xmlns:a16="http://schemas.microsoft.com/office/drawing/2014/main" id="{1DD709D9-28D3-4513-D69E-056D3B2D4B01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748421" y="3348581"/>
                <a:ext cx="2683416" cy="400282"/>
              </a:xfrm>
              <a:prstGeom prst="round2SameRect">
                <a:avLst>
                  <a:gd name="adj1" fmla="val 36824"/>
                  <a:gd name="adj2" fmla="val 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2000" b="1" i="0">
                    <a:solidFill>
                      <a:srgbClr val="1A3312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Subscription</a:t>
                </a:r>
                <a:r>
                  <a:rPr lang="pt-BR" sz="2000" b="1" i="0" baseline="0">
                    <a:solidFill>
                      <a:srgbClr val="1A3312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 EA Game Pass</a:t>
                </a:r>
              </a:p>
            </xdr:txBody>
          </xdr:sp>
        </xdr:grpSp>
        <xdr:pic>
          <xdr:nvPicPr>
            <xdr:cNvPr id="72" name="Imagem 71">
              <a:extLst>
                <a:ext uri="{FF2B5EF4-FFF2-40B4-BE49-F238E27FC236}">
                  <a16:creationId xmlns:a16="http://schemas.microsoft.com/office/drawing/2014/main" id="{A54A0443-3C1A-989D-9347-578E8BF941BC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7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3143979" y="2558929"/>
              <a:ext cx="971091" cy="998037"/>
            </a:xfrm>
            <a:prstGeom prst="ellipse">
              <a:avLst/>
            </a:prstGeom>
            <a:noFill/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pic>
        <xdr:sp macro="" textlink="eagame_revenue">
          <xdr:nvSpPr>
            <xdr:cNvPr id="86" name="Retângulo Arredondado 85">
              <a:extLst>
                <a:ext uri="{FF2B5EF4-FFF2-40B4-BE49-F238E27FC236}">
                  <a16:creationId xmlns:a16="http://schemas.microsoft.com/office/drawing/2014/main" id="{C7257C99-210A-2643-8AA2-1CC9D486D388}"/>
                </a:ext>
              </a:extLst>
            </xdr:cNvPr>
            <xdr:cNvSpPr/>
          </xdr:nvSpPr>
          <xdr:spPr>
            <a:xfrm>
              <a:off x="4069236" y="2325518"/>
              <a:ext cx="2319849" cy="91116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FBBF163-51AC-084F-B41A-028873393685}" type="TxLink">
                <a:rPr lang="en-US" sz="2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R$ 3.403,00</a:t>
              </a:fld>
              <a:endParaRPr lang="pt-BR" sz="2800" b="1" i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eagame_rate_sales">
          <xdr:nvSpPr>
            <xdr:cNvPr id="67" name="Retângulo 66">
              <a:extLst>
                <a:ext uri="{FF2B5EF4-FFF2-40B4-BE49-F238E27FC236}">
                  <a16:creationId xmlns:a16="http://schemas.microsoft.com/office/drawing/2014/main" id="{F2F6675E-68A6-8AFC-D9BB-C4C03504D6EE}"/>
                </a:ext>
              </a:extLst>
            </xdr:cNvPr>
            <xdr:cNvSpPr>
              <a:spLocks noChangeAspect="1"/>
            </xdr:cNvSpPr>
          </xdr:nvSpPr>
          <xdr:spPr>
            <a:xfrm>
              <a:off x="4672075" y="2956820"/>
              <a:ext cx="2218343" cy="891120"/>
            </a:xfrm>
            <a:prstGeom prst="rect">
              <a:avLst/>
            </a:prstGeom>
            <a:noFill/>
            <a:ln w="571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6DBADB3F-895E-D74C-BD7A-921C62D4CF6E}" type="TxLink">
                <a:rPr lang="en-US" sz="2000" b="1" i="0" u="none" strike="noStrike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54,66%</a:t>
              </a:fld>
              <a:r>
                <a:rPr lang="en-US" sz="1200" b="1" i="0" u="none" strike="noStrike">
                  <a:solidFill>
                    <a:srgbClr val="9EF04E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 Total Value</a:t>
              </a:r>
            </a:p>
          </xdr:txBody>
        </xdr:sp>
      </xdr:grpSp>
      <xdr:grpSp>
        <xdr:nvGrpSpPr>
          <xdr:cNvPr id="90" name="Agrupar 89">
            <a:extLst>
              <a:ext uri="{FF2B5EF4-FFF2-40B4-BE49-F238E27FC236}">
                <a16:creationId xmlns:a16="http://schemas.microsoft.com/office/drawing/2014/main" id="{3ADD290B-9364-C3C9-2DAB-80F4656CD490}"/>
              </a:ext>
            </a:extLst>
          </xdr:cNvPr>
          <xdr:cNvGrpSpPr/>
        </xdr:nvGrpSpPr>
        <xdr:grpSpPr>
          <a:xfrm>
            <a:off x="7155563" y="1530799"/>
            <a:ext cx="4434049" cy="2249424"/>
            <a:chOff x="7053055" y="1686015"/>
            <a:chExt cx="4286895" cy="2258153"/>
          </a:xfrm>
        </xdr:grpSpPr>
        <xdr:grpSp>
          <xdr:nvGrpSpPr>
            <xdr:cNvPr id="65" name="Agrupar 64">
              <a:extLst>
                <a:ext uri="{FF2B5EF4-FFF2-40B4-BE49-F238E27FC236}">
                  <a16:creationId xmlns:a16="http://schemas.microsoft.com/office/drawing/2014/main" id="{B35E55E5-22A5-3FBC-C77E-5F95A6CFC3E0}"/>
                </a:ext>
              </a:extLst>
            </xdr:cNvPr>
            <xdr:cNvGrpSpPr/>
          </xdr:nvGrpSpPr>
          <xdr:grpSpPr>
            <a:xfrm>
              <a:off x="7053055" y="1686015"/>
              <a:ext cx="3751802" cy="2256868"/>
              <a:chOff x="2748421" y="3348581"/>
              <a:chExt cx="2683416" cy="1585654"/>
            </a:xfrm>
          </xdr:grpSpPr>
          <xdr:sp macro="" textlink="">
            <xdr:nvSpPr>
              <xdr:cNvPr id="68" name="Retângulo Arredondado 67">
                <a:extLst>
                  <a:ext uri="{FF2B5EF4-FFF2-40B4-BE49-F238E27FC236}">
                    <a16:creationId xmlns:a16="http://schemas.microsoft.com/office/drawing/2014/main" id="{1394F88A-B101-2137-3F98-B96DE38209E6}"/>
                  </a:ext>
                </a:extLst>
              </xdr:cNvPr>
              <xdr:cNvSpPr>
                <a:spLocks/>
              </xdr:cNvSpPr>
            </xdr:nvSpPr>
            <xdr:spPr>
              <a:xfrm>
                <a:off x="2748421" y="3350075"/>
                <a:ext cx="2683416" cy="1584160"/>
              </a:xfrm>
              <a:prstGeom prst="roundRect">
                <a:avLst>
                  <a:gd name="adj" fmla="val 9736"/>
                </a:avLst>
              </a:prstGeom>
              <a:solidFill>
                <a:srgbClr val="000000"/>
              </a:solidFill>
              <a:ln>
                <a:noFill/>
              </a:ln>
            </xdr:spPr>
            <xdr:style>
              <a:lnRef idx="2">
                <a:schemeClr val="accent6">
                  <a:shade val="50000"/>
                </a:schemeClr>
              </a:lnRef>
              <a:fillRef idx="1">
                <a:schemeClr val="accent6"/>
              </a:fillRef>
              <a:effectRef idx="0">
                <a:schemeClr val="accent6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pt-BR" sz="1100"/>
              </a:p>
            </xdr:txBody>
          </xdr:sp>
          <xdr:sp macro="" textlink="">
            <xdr:nvSpPr>
              <xdr:cNvPr id="69" name="Retângulo com Canto Arredondado do Mesmo Lado 68">
                <a:extLst>
                  <a:ext uri="{FF2B5EF4-FFF2-40B4-BE49-F238E27FC236}">
                    <a16:creationId xmlns:a16="http://schemas.microsoft.com/office/drawing/2014/main" id="{31CC4EB3-FBDC-ADB1-C3C5-AF520272D3AC}"/>
                  </a:ext>
                </a:extLst>
              </xdr:cNvPr>
              <xdr:cNvSpPr>
                <a:spLocks noChangeAspect="1"/>
              </xdr:cNvSpPr>
            </xdr:nvSpPr>
            <xdr:spPr>
              <a:xfrm>
                <a:off x="2748421" y="3348581"/>
                <a:ext cx="2683416" cy="400282"/>
              </a:xfrm>
              <a:prstGeom prst="round2SameRect">
                <a:avLst>
                  <a:gd name="adj1" fmla="val 36824"/>
                  <a:gd name="adj2" fmla="val 0"/>
                </a:avLst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pt-BR" sz="2000" b="1" i="0">
                    <a:solidFill>
                      <a:srgbClr val="1A3312"/>
                    </a:solidFill>
                    <a:latin typeface="Segoe UI" panose="020B0502040204020203" pitchFamily="34" charset="0"/>
                    <a:cs typeface="Segoe UI" panose="020B0502040204020203" pitchFamily="34" charset="0"/>
                  </a:rPr>
                  <a:t>Subscription Minecraft Pass</a:t>
                </a:r>
              </a:p>
            </xdr:txBody>
          </xdr:sp>
        </xdr:grpSp>
        <xdr:sp macro="" textlink="C̳álculos!F24">
          <xdr:nvSpPr>
            <xdr:cNvPr id="66" name="Retângulo Arredondado 65">
              <a:extLst>
                <a:ext uri="{FF2B5EF4-FFF2-40B4-BE49-F238E27FC236}">
                  <a16:creationId xmlns:a16="http://schemas.microsoft.com/office/drawing/2014/main" id="{C2FB8116-1D56-5C9D-227C-350CA0E31140}"/>
                </a:ext>
              </a:extLst>
            </xdr:cNvPr>
            <xdr:cNvSpPr/>
          </xdr:nvSpPr>
          <xdr:spPr>
            <a:xfrm>
              <a:off x="8208311" y="2309778"/>
              <a:ext cx="2319848" cy="911166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97E2827-164E-7841-8BF3-EED6FCB519C0}" type="TxLink">
                <a:rPr lang="en-US" sz="2800" b="1" i="0" u="none" strike="noStrike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R$ 1.240,00</a:t>
              </a:fld>
              <a:endParaRPr lang="pt-BR" sz="2800" b="1" i="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grpSp>
          <xdr:nvGrpSpPr>
            <xdr:cNvPr id="62" name="Agrupar 61">
              <a:extLst>
                <a:ext uri="{FF2B5EF4-FFF2-40B4-BE49-F238E27FC236}">
                  <a16:creationId xmlns:a16="http://schemas.microsoft.com/office/drawing/2014/main" id="{4A15425B-14E7-A90A-6AC8-53E122383D79}"/>
                </a:ext>
              </a:extLst>
            </xdr:cNvPr>
            <xdr:cNvGrpSpPr>
              <a:grpSpLocks noChangeAspect="1"/>
            </xdr:cNvGrpSpPr>
          </xdr:nvGrpSpPr>
          <xdr:grpSpPr>
            <a:xfrm>
              <a:off x="7178189" y="2508945"/>
              <a:ext cx="1466309" cy="990382"/>
              <a:chOff x="3495675" y="5392276"/>
              <a:chExt cx="2057672" cy="836294"/>
            </a:xfrm>
          </xdr:grpSpPr>
          <xdr:pic>
            <xdr:nvPicPr>
              <xdr:cNvPr id="63" name="Imagem 62">
                <a:extLst>
                  <a:ext uri="{FF2B5EF4-FFF2-40B4-BE49-F238E27FC236}">
                    <a16:creationId xmlns:a16="http://schemas.microsoft.com/office/drawing/2014/main" id="{932F0ABD-1D54-BD24-BB50-1C95883C7E9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8" cstate="print">
                <a:extLst>
                  <a:ext uri="{28A0092B-C50C-407E-A947-70E740481C1C}">
                    <a14:useLocalDpi xmlns:a14="http://schemas.microsoft.com/office/drawing/2010/main" val="0"/>
                  </a:ext>
                </a:extLst>
              </a:blip>
              <a:stretch>
                <a:fillRect/>
              </a:stretch>
            </xdr:blipFill>
            <xdr:spPr>
              <a:xfrm>
                <a:off x="3998608" y="5392276"/>
                <a:ext cx="972951" cy="693419"/>
              </a:xfrm>
              <a:prstGeom prst="rect">
                <a:avLst/>
              </a:prstGeom>
            </xdr:spPr>
          </xdr:pic>
          <xdr:pic>
            <xdr:nvPicPr>
              <xdr:cNvPr id="64" name="Gráfico 63">
                <a:extLst>
                  <a:ext uri="{FF2B5EF4-FFF2-40B4-BE49-F238E27FC236}">
                    <a16:creationId xmlns:a16="http://schemas.microsoft.com/office/drawing/2014/main" id="{1ED12D3B-B711-8CA9-DFCA-C803C3BDEA8A}"/>
                  </a:ext>
                </a:extLst>
              </xdr:cNvPr>
              <xdr:cNvPicPr>
                <a:picLocks noChangeAspect="1"/>
              </xdr:cNvPicPr>
            </xdr:nvPicPr>
            <xdr:blipFill>
              <a:blip xmlns:r="http://schemas.openxmlformats.org/officeDocument/2006/relationships" r:embed="rId9">
                <a:extLst>
                  <a:ext uri="{96DAC541-7B7A-43D3-8B79-37D633B846F1}">
                    <asvg:svgBlip xmlns:asvg="http://schemas.microsoft.com/office/drawing/2016/SVG/main" r:embed="rId10"/>
                  </a:ext>
                </a:extLst>
              </a:blip>
              <a:stretch>
                <a:fillRect/>
              </a:stretch>
            </xdr:blipFill>
            <xdr:spPr>
              <a:xfrm>
                <a:off x="3495675" y="5917196"/>
                <a:ext cx="2057672" cy="311374"/>
              </a:xfrm>
              <a:prstGeom prst="rect">
                <a:avLst/>
              </a:prstGeom>
            </xdr:spPr>
          </xdr:pic>
        </xdr:grpSp>
        <xdr:sp macro="" textlink="minecraft_rate_sales">
          <xdr:nvSpPr>
            <xdr:cNvPr id="73" name="Retângulo 72">
              <a:extLst>
                <a:ext uri="{FF2B5EF4-FFF2-40B4-BE49-F238E27FC236}">
                  <a16:creationId xmlns:a16="http://schemas.microsoft.com/office/drawing/2014/main" id="{242ECD84-CC34-25E6-E1A2-8C1F2B97BEDD}"/>
                </a:ext>
              </a:extLst>
            </xdr:cNvPr>
            <xdr:cNvSpPr>
              <a:spLocks noChangeAspect="1"/>
            </xdr:cNvSpPr>
          </xdr:nvSpPr>
          <xdr:spPr>
            <a:xfrm>
              <a:off x="8811597" y="2957078"/>
              <a:ext cx="2528353" cy="987090"/>
            </a:xfrm>
            <a:prstGeom prst="rect">
              <a:avLst/>
            </a:prstGeom>
            <a:noFill/>
            <a:ln w="57150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fld id="{52AFEBF7-771B-ED40-ABE7-871F3941BAFA}" type="TxLink">
                <a:rPr lang="en-US" sz="2000" b="1" i="0" u="none" strike="noStrike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36,44%</a:t>
              </a:fld>
              <a:r>
                <a:rPr lang="en-US" sz="1800" b="1" i="0" u="none" strike="noStrike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en-US" sz="1200" b="1" i="0" u="none" strike="noStrike">
                  <a:solidFill>
                    <a:srgbClr val="9EF04E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Total Value</a:t>
              </a:r>
              <a:endParaRPr lang="pt-BR" sz="1800" b="1" i="0">
                <a:solidFill>
                  <a:srgbClr val="9EF04E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endParaRPr>
            </a:p>
          </xdr:txBody>
        </xdr:sp>
      </xdr:grpSp>
    </xdr:grpSp>
    <xdr:clientData/>
  </xdr:twoCellAnchor>
  <xdr:twoCellAnchor>
    <xdr:from>
      <xdr:col>1</xdr:col>
      <xdr:colOff>253799</xdr:colOff>
      <xdr:row>0</xdr:row>
      <xdr:rowOff>261202</xdr:rowOff>
    </xdr:from>
    <xdr:to>
      <xdr:col>2</xdr:col>
      <xdr:colOff>393700</xdr:colOff>
      <xdr:row>0</xdr:row>
      <xdr:rowOff>546099</xdr:rowOff>
    </xdr:to>
    <xdr:sp macro="" textlink="">
      <xdr:nvSpPr>
        <xdr:cNvPr id="97" name="Seta para a Direita 9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5D7A738-2262-EF49-7258-072A03A48233}"/>
            </a:ext>
          </a:extLst>
        </xdr:cNvPr>
        <xdr:cNvSpPr/>
      </xdr:nvSpPr>
      <xdr:spPr>
        <a:xfrm rot="10800000">
          <a:off x="2679499" y="261202"/>
          <a:ext cx="406601" cy="284897"/>
        </a:xfrm>
        <a:prstGeom prst="rightArrow">
          <a:avLst/>
        </a:prstGeom>
        <a:solidFill>
          <a:srgbClr val="1A331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 fLocksWithSheet="0"/>
  </xdr:twoCellAnchor>
  <xdr:twoCellAnchor editAs="absolute">
    <xdr:from>
      <xdr:col>0</xdr:col>
      <xdr:colOff>144113</xdr:colOff>
      <xdr:row>11</xdr:row>
      <xdr:rowOff>123521</xdr:rowOff>
    </xdr:from>
    <xdr:to>
      <xdr:col>0</xdr:col>
      <xdr:colOff>2146649</xdr:colOff>
      <xdr:row>17</xdr:row>
      <xdr:rowOff>144038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2" name="Plan 1">
              <a:extLst>
                <a:ext uri="{FF2B5EF4-FFF2-40B4-BE49-F238E27FC236}">
                  <a16:creationId xmlns:a16="http://schemas.microsoft.com/office/drawing/2014/main" id="{7665599C-079C-1A44-B120-7F3B77E752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113" y="3196921"/>
              <a:ext cx="2002536" cy="11889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245958</xdr:colOff>
      <xdr:row>11</xdr:row>
      <xdr:rowOff>59981</xdr:rowOff>
    </xdr:from>
    <xdr:to>
      <xdr:col>0</xdr:col>
      <xdr:colOff>576453</xdr:colOff>
      <xdr:row>13</xdr:row>
      <xdr:rowOff>10094</xdr:rowOff>
    </xdr:to>
    <xdr:pic>
      <xdr:nvPicPr>
        <xdr:cNvPr id="107" name="Gráfico 106" descr="Carrinho de compras com preenchimento sólido">
          <a:extLst>
            <a:ext uri="{FF2B5EF4-FFF2-40B4-BE49-F238E27FC236}">
              <a16:creationId xmlns:a16="http://schemas.microsoft.com/office/drawing/2014/main" id="{85D2B8E9-91CC-AA57-A896-5F32BEDE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245958" y="3133381"/>
          <a:ext cx="330495" cy="339580"/>
        </a:xfrm>
        <a:prstGeom prst="rect">
          <a:avLst/>
        </a:prstGeom>
      </xdr:spPr>
    </xdr:pic>
    <xdr:clientData/>
  </xdr:twoCellAnchor>
  <xdr:twoCellAnchor editAs="absolute">
    <xdr:from>
      <xdr:col>12</xdr:col>
      <xdr:colOff>640993</xdr:colOff>
      <xdr:row>16</xdr:row>
      <xdr:rowOff>144071</xdr:rowOff>
    </xdr:from>
    <xdr:to>
      <xdr:col>20</xdr:col>
      <xdr:colOff>422084</xdr:colOff>
      <xdr:row>32</xdr:row>
      <xdr:rowOff>169205</xdr:rowOff>
    </xdr:to>
    <xdr:grpSp>
      <xdr:nvGrpSpPr>
        <xdr:cNvPr id="145" name="Agrupar 144">
          <a:extLst>
            <a:ext uri="{FF2B5EF4-FFF2-40B4-BE49-F238E27FC236}">
              <a16:creationId xmlns:a16="http://schemas.microsoft.com/office/drawing/2014/main" id="{C569BBAF-8D4E-434A-C946-3279BFAA94C8}"/>
            </a:ext>
          </a:extLst>
        </xdr:cNvPr>
        <xdr:cNvGrpSpPr/>
      </xdr:nvGrpSpPr>
      <xdr:grpSpPr>
        <a:xfrm>
          <a:off x="9514060" y="4191138"/>
          <a:ext cx="5199757" cy="3140867"/>
          <a:chOff x="9287039" y="4095462"/>
          <a:chExt cx="5128459" cy="3055310"/>
        </a:xfrm>
      </xdr:grpSpPr>
      <xdr:grpSp>
        <xdr:nvGrpSpPr>
          <xdr:cNvPr id="143" name="Agrupar 142">
            <a:extLst>
              <a:ext uri="{FF2B5EF4-FFF2-40B4-BE49-F238E27FC236}">
                <a16:creationId xmlns:a16="http://schemas.microsoft.com/office/drawing/2014/main" id="{555A0514-199C-3EE0-0CC0-DBBCFA2BC04C}"/>
              </a:ext>
            </a:extLst>
          </xdr:cNvPr>
          <xdr:cNvGrpSpPr/>
        </xdr:nvGrpSpPr>
        <xdr:grpSpPr>
          <a:xfrm>
            <a:off x="9287039" y="4095462"/>
            <a:ext cx="5128459" cy="3055310"/>
            <a:chOff x="9287039" y="4095462"/>
            <a:chExt cx="5128459" cy="3055310"/>
          </a:xfrm>
        </xdr:grpSpPr>
        <xdr:sp macro="" textlink="">
          <xdr:nvSpPr>
            <xdr:cNvPr id="131" name="Retângulo Arredondado 130">
              <a:extLst>
                <a:ext uri="{FF2B5EF4-FFF2-40B4-BE49-F238E27FC236}">
                  <a16:creationId xmlns:a16="http://schemas.microsoft.com/office/drawing/2014/main" id="{67291247-E6ED-6DCF-D2C2-474D97106E16}"/>
                </a:ext>
              </a:extLst>
            </xdr:cNvPr>
            <xdr:cNvSpPr>
              <a:spLocks noChangeAspect="1"/>
            </xdr:cNvSpPr>
          </xdr:nvSpPr>
          <xdr:spPr>
            <a:xfrm>
              <a:off x="9849098" y="4103227"/>
              <a:ext cx="4550693" cy="3006360"/>
            </a:xfrm>
            <a:prstGeom prst="roundRect">
              <a:avLst>
                <a:gd name="adj" fmla="val 9736"/>
              </a:avLst>
            </a:prstGeom>
            <a:solidFill>
              <a:srgbClr val="FFFFFF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mc:AlternateContent xmlns:mc="http://schemas.openxmlformats.org/markup-compatibility/2006">
          <mc:Choice xmlns:cx1="http://schemas.microsoft.com/office/drawing/2015/9/8/chartex" Requires="cx1">
            <xdr:graphicFrame macro="">
              <xdr:nvGraphicFramePr>
                <xdr:cNvPr id="129" name="Gráfico 128">
                  <a:extLst>
                    <a:ext uri="{FF2B5EF4-FFF2-40B4-BE49-F238E27FC236}">
                      <a16:creationId xmlns:a16="http://schemas.microsoft.com/office/drawing/2014/main" id="{41B3AB45-DA04-854D-BE83-50C20CB4EFE4}"/>
                    </a:ext>
                  </a:extLst>
                </xdr:cNvPr>
                <xdr:cNvGraphicFramePr/>
              </xdr:nvGraphicFramePr>
              <xdr:xfrm>
                <a:off x="9287039" y="4190173"/>
                <a:ext cx="4224883" cy="2859799"/>
              </xdr:xfrm>
              <a:graphic>
                <a:graphicData uri="http://schemas.microsoft.com/office/drawing/2014/chartex">
                  <cx:chart xmlns:cx="http://schemas.microsoft.com/office/drawing/2014/chartex" xmlns:r="http://schemas.openxmlformats.org/officeDocument/2006/relationships" r:id="rId14"/>
                </a:graphicData>
              </a:graphic>
            </xdr:graphicFrame>
          </mc:Choice>
          <mc:Fallback>
            <xdr:sp macro="" textlink="">
              <xdr:nvSpPr>
                <xdr:cNvPr id="0" name=""/>
                <xdr:cNvSpPr>
                  <a:spLocks noTextEdit="1"/>
                </xdr:cNvSpPr>
              </xdr:nvSpPr>
              <xdr:spPr>
                <a:xfrm>
                  <a:off x="9287039" y="4190173"/>
                  <a:ext cx="4224883" cy="2859799"/>
                </a:xfrm>
                <a:prstGeom prst="rect">
                  <a:avLst/>
                </a:prstGeom>
                <a:solidFill>
                  <a:prstClr val="white"/>
                </a:solidFill>
                <a:ln w="1">
                  <a:solidFill>
                    <a:prstClr val="green"/>
                  </a:solidFill>
                </a:ln>
              </xdr:spPr>
              <xdr:txBody>
                <a:bodyPr vertOverflow="clip" horzOverflow="clip"/>
                <a:lstStyle/>
                <a:p>
                  <a:r>
                    <a:rPr lang="pt-BR" sz="1100"/>
                    <a:t>Este gráfico não está disponível na sua versão de Excel.
Editar esta forma ou salvar esta pasta de trabalho em um formato de arquivo diferente quebrará o gráfico permanentemente.</a:t>
                  </a:r>
                </a:p>
              </xdr:txBody>
            </xdr:sp>
          </mc:Fallback>
        </mc:AlternateContent>
        <xdr:sp macro="" textlink="">
          <xdr:nvSpPr>
            <xdr:cNvPr id="135" name="Retângulo com Canto Arredondado do Mesmo Lado 134">
              <a:extLst>
                <a:ext uri="{FF2B5EF4-FFF2-40B4-BE49-F238E27FC236}">
                  <a16:creationId xmlns:a16="http://schemas.microsoft.com/office/drawing/2014/main" id="{44B17D5F-B1F3-794B-A5D9-FBDEB452CA5B}"/>
                </a:ext>
              </a:extLst>
            </xdr:cNvPr>
            <xdr:cNvSpPr>
              <a:spLocks noChangeAspect="1"/>
            </xdr:cNvSpPr>
          </xdr:nvSpPr>
          <xdr:spPr>
            <a:xfrm rot="5400000">
              <a:off x="12170277" y="4905550"/>
              <a:ext cx="3055310" cy="1435133"/>
            </a:xfrm>
            <a:prstGeom prst="round2SameRect">
              <a:avLst>
                <a:gd name="adj1" fmla="val 25346"/>
                <a:gd name="adj2" fmla="val 0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vert="vert270" rtlCol="0" anchor="t" anchorCtr="0"/>
            <a:lstStyle/>
            <a:p>
              <a:pPr algn="ctr"/>
              <a:r>
                <a:rPr lang="pt-BR" sz="1800" b="1" i="0">
                  <a:solidFill>
                    <a:srgbClr val="9EF04E"/>
                  </a:solidFill>
                  <a:latin typeface="Segoe UI Semibold" panose="020B0502040204020203" pitchFamily="34" charset="0"/>
                  <a:cs typeface="Segoe UI Semibold" panose="020B0502040204020203" pitchFamily="34" charset="0"/>
                </a:rPr>
                <a:t>User               Archetypes</a:t>
              </a:r>
              <a:endParaRPr lang="pt-BR" sz="1400" b="1" i="0">
                <a:solidFill>
                  <a:srgbClr val="9EF04E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endParaRPr>
            </a:p>
          </xdr:txBody>
        </xdr:sp>
      </xdr:grpSp>
      <xdr:sp macro="" textlink="">
        <xdr:nvSpPr>
          <xdr:cNvPr id="137" name="CaixaDeTexto 136">
            <a:extLst>
              <a:ext uri="{FF2B5EF4-FFF2-40B4-BE49-F238E27FC236}">
                <a16:creationId xmlns:a16="http://schemas.microsoft.com/office/drawing/2014/main" id="{30845564-1622-B5E9-87EE-F4F7891EE6B3}"/>
              </a:ext>
            </a:extLst>
          </xdr:cNvPr>
          <xdr:cNvSpPr txBox="1"/>
        </xdr:nvSpPr>
        <xdr:spPr>
          <a:xfrm>
            <a:off x="13282863" y="5316176"/>
            <a:ext cx="913510" cy="698277"/>
          </a:xfrm>
          <a:prstGeom prst="rect">
            <a:avLst/>
          </a:prstGeom>
          <a:noFill/>
          <a:ln>
            <a:noFill/>
          </a:ln>
        </xdr:spPr>
        <xdr:style>
          <a:lnRef idx="0">
            <a:schemeClr val="dk1"/>
          </a:lnRef>
          <a:fillRef idx="3">
            <a:schemeClr val="dk1"/>
          </a:fillRef>
          <a:effectRef idx="3">
            <a:schemeClr val="dk1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lang="pt-BR" sz="1050" b="1" i="0">
                <a:solidFill>
                  <a:srgbClr val="FFFFFF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rPr>
              <a:t>Core</a:t>
            </a:r>
          </a:p>
          <a:p>
            <a:r>
              <a:rPr lang="pt-BR" sz="1050" b="1" i="0">
                <a:solidFill>
                  <a:srgbClr val="FFFFFF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rPr>
              <a:t>Standard</a:t>
            </a:r>
          </a:p>
          <a:p>
            <a:r>
              <a:rPr lang="pt-BR" sz="1050" b="1" i="0">
                <a:solidFill>
                  <a:srgbClr val="FFFFFF"/>
                </a:solidFill>
                <a:latin typeface="Segoe UI Semibold" panose="020B0502040204020203" pitchFamily="34" charset="0"/>
                <a:cs typeface="Segoe UI Semibold" panose="020B0502040204020203" pitchFamily="34" charset="0"/>
              </a:rPr>
              <a:t>Ultimate</a:t>
            </a:r>
          </a:p>
        </xdr:txBody>
      </xdr:sp>
      <xdr:grpSp>
        <xdr:nvGrpSpPr>
          <xdr:cNvPr id="141" name="Agrupar 140">
            <a:extLst>
              <a:ext uri="{FF2B5EF4-FFF2-40B4-BE49-F238E27FC236}">
                <a16:creationId xmlns:a16="http://schemas.microsoft.com/office/drawing/2014/main" id="{002A1A91-D8E1-B4EE-17EF-547C3F2BE065}"/>
              </a:ext>
            </a:extLst>
          </xdr:cNvPr>
          <xdr:cNvGrpSpPr/>
        </xdr:nvGrpSpPr>
        <xdr:grpSpPr>
          <a:xfrm>
            <a:off x="13240529" y="5406381"/>
            <a:ext cx="91440" cy="430298"/>
            <a:chOff x="13240529" y="5406381"/>
            <a:chExt cx="91440" cy="430298"/>
          </a:xfrm>
        </xdr:grpSpPr>
        <xdr:sp macro="" textlink="">
          <xdr:nvSpPr>
            <xdr:cNvPr id="138" name="Retângulo 137">
              <a:extLst>
                <a:ext uri="{FF2B5EF4-FFF2-40B4-BE49-F238E27FC236}">
                  <a16:creationId xmlns:a16="http://schemas.microsoft.com/office/drawing/2014/main" id="{2B440361-A8B9-92DD-3838-2AD3C45F7863}"/>
                </a:ext>
              </a:extLst>
            </xdr:cNvPr>
            <xdr:cNvSpPr>
              <a:spLocks noChangeAspect="1"/>
            </xdr:cNvSpPr>
          </xdr:nvSpPr>
          <xdr:spPr>
            <a:xfrm>
              <a:off x="13240529" y="5406381"/>
              <a:ext cx="91440" cy="91440"/>
            </a:xfrm>
            <a:prstGeom prst="rect">
              <a:avLst/>
            </a:prstGeom>
            <a:solidFill>
              <a:srgbClr val="E0E0E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39" name="Retângulo 138">
              <a:extLst>
                <a:ext uri="{FF2B5EF4-FFF2-40B4-BE49-F238E27FC236}">
                  <a16:creationId xmlns:a16="http://schemas.microsoft.com/office/drawing/2014/main" id="{DC12E245-2D9B-6545-B6D7-2D8A8C9C1AB8}"/>
                </a:ext>
              </a:extLst>
            </xdr:cNvPr>
            <xdr:cNvSpPr>
              <a:spLocks noChangeAspect="1"/>
            </xdr:cNvSpPr>
          </xdr:nvSpPr>
          <xdr:spPr>
            <a:xfrm>
              <a:off x="13240529" y="5578833"/>
              <a:ext cx="91440" cy="91440"/>
            </a:xfrm>
            <a:prstGeom prst="rect">
              <a:avLst/>
            </a:prstGeom>
            <a:ln w="12700">
              <a:solidFill>
                <a:schemeClr val="bg1"/>
              </a:solidFill>
            </a:ln>
          </xdr:spPr>
          <xdr:style>
            <a:lnRef idx="2">
              <a:schemeClr val="dk1">
                <a:shade val="50000"/>
              </a:schemeClr>
            </a:lnRef>
            <a:fillRef idx="1">
              <a:schemeClr val="dk1"/>
            </a:fillRef>
            <a:effectRef idx="0">
              <a:schemeClr val="dk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140" name="Retângulo 139">
              <a:extLst>
                <a:ext uri="{FF2B5EF4-FFF2-40B4-BE49-F238E27FC236}">
                  <a16:creationId xmlns:a16="http://schemas.microsoft.com/office/drawing/2014/main" id="{1121F688-044B-B648-9824-C1FBF4C3DEB1}"/>
                </a:ext>
              </a:extLst>
            </xdr:cNvPr>
            <xdr:cNvSpPr>
              <a:spLocks noChangeAspect="1"/>
            </xdr:cNvSpPr>
          </xdr:nvSpPr>
          <xdr:spPr>
            <a:xfrm>
              <a:off x="13240529" y="5745239"/>
              <a:ext cx="91440" cy="91440"/>
            </a:xfrm>
            <a:prstGeom prst="rect">
              <a:avLst/>
            </a:prstGeom>
            <a:solidFill>
              <a:srgbClr val="9EF04E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>
                <a:solidFill>
                  <a:srgbClr val="FFFFFF"/>
                </a:solidFill>
              </a:endParaRPr>
            </a:p>
          </xdr:txBody>
        </xdr:sp>
      </xdr:grp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128151</xdr:colOff>
      <xdr:row>5</xdr:row>
      <xdr:rowOff>7731</xdr:rowOff>
    </xdr:from>
    <xdr:to>
      <xdr:col>7</xdr:col>
      <xdr:colOff>14598</xdr:colOff>
      <xdr:row>13</xdr:row>
      <xdr:rowOff>110097</xdr:rowOff>
    </xdr:to>
    <xdr:grpSp>
      <xdr:nvGrpSpPr>
        <xdr:cNvPr id="29" name="Agrupar 28">
          <a:extLst>
            <a:ext uri="{FF2B5EF4-FFF2-40B4-BE49-F238E27FC236}">
              <a16:creationId xmlns:a16="http://schemas.microsoft.com/office/drawing/2014/main" id="{E620D91F-BE7E-7EC3-90C2-88BE3C32BBEA}"/>
            </a:ext>
          </a:extLst>
        </xdr:cNvPr>
        <xdr:cNvGrpSpPr/>
      </xdr:nvGrpSpPr>
      <xdr:grpSpPr>
        <a:xfrm>
          <a:off x="2829018" y="1650264"/>
          <a:ext cx="3273113" cy="1888833"/>
          <a:chOff x="2516626" y="1781867"/>
          <a:chExt cx="2391208" cy="1104306"/>
        </a:xfrm>
      </xdr:grpSpPr>
      <xdr:grpSp>
        <xdr:nvGrpSpPr>
          <xdr:cNvPr id="40" name="Agrupar 39">
            <a:extLst>
              <a:ext uri="{FF2B5EF4-FFF2-40B4-BE49-F238E27FC236}">
                <a16:creationId xmlns:a16="http://schemas.microsoft.com/office/drawing/2014/main" id="{D4450336-CF22-F92C-6414-0164685A579D}"/>
              </a:ext>
            </a:extLst>
          </xdr:cNvPr>
          <xdr:cNvGrpSpPr/>
        </xdr:nvGrpSpPr>
        <xdr:grpSpPr>
          <a:xfrm>
            <a:off x="2516626" y="1781867"/>
            <a:ext cx="2391208" cy="1104306"/>
            <a:chOff x="2748421" y="3348581"/>
            <a:chExt cx="2157729" cy="1260203"/>
          </a:xfrm>
        </xdr:grpSpPr>
        <xdr:sp macro="" textlink="">
          <xdr:nvSpPr>
            <xdr:cNvPr id="44" name="Retângulo Arredondado 43">
              <a:extLst>
                <a:ext uri="{FF2B5EF4-FFF2-40B4-BE49-F238E27FC236}">
                  <a16:creationId xmlns:a16="http://schemas.microsoft.com/office/drawing/2014/main" id="{D89ABB90-F6C7-3939-D5A8-4347257F6919}"/>
                </a:ext>
              </a:extLst>
            </xdr:cNvPr>
            <xdr:cNvSpPr>
              <a:spLocks noChangeAspect="1"/>
            </xdr:cNvSpPr>
          </xdr:nvSpPr>
          <xdr:spPr>
            <a:xfrm>
              <a:off x="2748422" y="3348582"/>
              <a:ext cx="2157249" cy="1260202"/>
            </a:xfrm>
            <a:prstGeom prst="roundRect">
              <a:avLst>
                <a:gd name="adj" fmla="val 9736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45" name="Retângulo com Canto Arredondado do Mesmo Lado 44">
              <a:extLst>
                <a:ext uri="{FF2B5EF4-FFF2-40B4-BE49-F238E27FC236}">
                  <a16:creationId xmlns:a16="http://schemas.microsoft.com/office/drawing/2014/main" id="{38A6D723-0F11-B10B-72B6-1F007F045E40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157729" cy="387598"/>
            </a:xfrm>
            <a:prstGeom prst="round2SameRect">
              <a:avLst>
                <a:gd name="adj1" fmla="val 22908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marL="0" marR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pt-BR" sz="2400" b="1" i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1600" b="1" i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2400" b="1" i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Revenue</a:t>
              </a:r>
              <a:endParaRPr lang="pt-BR" sz="1600" b="1" i="0" baseline="0">
                <a:solidFill>
                  <a:srgbClr val="1A3312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total_revenue">
        <xdr:nvSpPr>
          <xdr:cNvPr id="41" name="Retângulo Arredondado 40">
            <a:extLst>
              <a:ext uri="{FF2B5EF4-FFF2-40B4-BE49-F238E27FC236}">
                <a16:creationId xmlns:a16="http://schemas.microsoft.com/office/drawing/2014/main" id="{F107A36E-5E66-DE1F-BE67-A41F290131B2}"/>
              </a:ext>
            </a:extLst>
          </xdr:cNvPr>
          <xdr:cNvSpPr/>
        </xdr:nvSpPr>
        <xdr:spPr>
          <a:xfrm>
            <a:off x="2526955" y="2008051"/>
            <a:ext cx="2359417" cy="868255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CB7F736E-C71D-6842-8644-317CEF020958}" type="TxLink">
              <a:rPr lang="en-US" sz="3600" b="1" i="0" u="none" strike="noStrike">
                <a:solidFill>
                  <a:srgbClr val="9EF04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R$ 3.403,00</a:t>
            </a:fld>
            <a:endParaRPr lang="pt-BR" sz="3600" b="1" i="0" u="none" strike="noStrike">
              <a:solidFill>
                <a:srgbClr val="9EF04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7</xdr:col>
      <xdr:colOff>286017</xdr:colOff>
      <xdr:row>5</xdr:row>
      <xdr:rowOff>7729</xdr:rowOff>
    </xdr:from>
    <xdr:to>
      <xdr:col>13</xdr:col>
      <xdr:colOff>90651</xdr:colOff>
      <xdr:row>13</xdr:row>
      <xdr:rowOff>110098</xdr:rowOff>
    </xdr:to>
    <xdr:grpSp>
      <xdr:nvGrpSpPr>
        <xdr:cNvPr id="105" name="Agrupar 104">
          <a:extLst>
            <a:ext uri="{FF2B5EF4-FFF2-40B4-BE49-F238E27FC236}">
              <a16:creationId xmlns:a16="http://schemas.microsoft.com/office/drawing/2014/main" id="{DCBEAB2C-EFED-314E-8475-218BFB2E4EA1}"/>
            </a:ext>
          </a:extLst>
        </xdr:cNvPr>
        <xdr:cNvGrpSpPr/>
      </xdr:nvGrpSpPr>
      <xdr:grpSpPr>
        <a:xfrm>
          <a:off x="6373550" y="1650262"/>
          <a:ext cx="3267501" cy="1888836"/>
          <a:chOff x="2514656" y="1781865"/>
          <a:chExt cx="2393178" cy="1104308"/>
        </a:xfrm>
      </xdr:grpSpPr>
      <xdr:grpSp>
        <xdr:nvGrpSpPr>
          <xdr:cNvPr id="106" name="Agrupar 105">
            <a:extLst>
              <a:ext uri="{FF2B5EF4-FFF2-40B4-BE49-F238E27FC236}">
                <a16:creationId xmlns:a16="http://schemas.microsoft.com/office/drawing/2014/main" id="{DADA1F68-7835-DCE7-2EA8-7595EF682F11}"/>
              </a:ext>
            </a:extLst>
          </xdr:cNvPr>
          <xdr:cNvGrpSpPr/>
        </xdr:nvGrpSpPr>
        <xdr:grpSpPr>
          <a:xfrm>
            <a:off x="2516626" y="1781865"/>
            <a:ext cx="2391208" cy="1104308"/>
            <a:chOff x="2748421" y="3348581"/>
            <a:chExt cx="2157729" cy="1260206"/>
          </a:xfrm>
        </xdr:grpSpPr>
        <xdr:sp macro="" textlink="">
          <xdr:nvSpPr>
            <xdr:cNvPr id="108" name="Retângulo Arredondado 107">
              <a:extLst>
                <a:ext uri="{FF2B5EF4-FFF2-40B4-BE49-F238E27FC236}">
                  <a16:creationId xmlns:a16="http://schemas.microsoft.com/office/drawing/2014/main" id="{ABDB2347-8491-B482-B2E0-FDCFDA5ADF84}"/>
                </a:ext>
              </a:extLst>
            </xdr:cNvPr>
            <xdr:cNvSpPr>
              <a:spLocks noChangeAspect="1"/>
            </xdr:cNvSpPr>
          </xdr:nvSpPr>
          <xdr:spPr>
            <a:xfrm>
              <a:off x="2748422" y="3348585"/>
              <a:ext cx="2157249" cy="1260202"/>
            </a:xfrm>
            <a:prstGeom prst="roundRect">
              <a:avLst>
                <a:gd name="adj" fmla="val 9736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i="0">
                <a:solidFill>
                  <a:srgbClr val="9EF04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09" name="Retângulo com Canto Arredondado do Mesmo Lado 108">
              <a:extLst>
                <a:ext uri="{FF2B5EF4-FFF2-40B4-BE49-F238E27FC236}">
                  <a16:creationId xmlns:a16="http://schemas.microsoft.com/office/drawing/2014/main" id="{69473367-8BF2-365C-EF67-A4AAAC1CF939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157729" cy="387598"/>
            </a:xfrm>
            <a:prstGeom prst="round2SameRect">
              <a:avLst>
                <a:gd name="adj1" fmla="val 22908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r>
                <a:rPr lang="en-US" sz="2400" b="1" i="0" u="none" strike="noStrike" baseline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Average</a:t>
              </a:r>
              <a:r>
                <a:rPr lang="en-US" sz="1600" b="1" i="0" u="none" strike="noStrike" baseline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en-US" sz="2400" b="1" i="0" u="none" strike="noStrike" baseline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Ticket</a:t>
              </a:r>
              <a:endParaRPr lang="pt-BR" sz="5400" b="1" i="0">
                <a:solidFill>
                  <a:srgbClr val="1A3312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average_ticket">
        <xdr:nvSpPr>
          <xdr:cNvPr id="107" name="Retângulo Arredondado 106">
            <a:extLst>
              <a:ext uri="{FF2B5EF4-FFF2-40B4-BE49-F238E27FC236}">
                <a16:creationId xmlns:a16="http://schemas.microsoft.com/office/drawing/2014/main" id="{275709FB-0838-BEF0-13ED-34D8BA21C515}"/>
              </a:ext>
            </a:extLst>
          </xdr:cNvPr>
          <xdr:cNvSpPr/>
        </xdr:nvSpPr>
        <xdr:spPr>
          <a:xfrm>
            <a:off x="2514656" y="2008049"/>
            <a:ext cx="2359417" cy="86845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B5F6422A-474D-CD43-B4ED-D0B970B4D784}" type="TxLink">
              <a:rPr lang="en-US" sz="3600" b="1" i="0" u="none" strike="noStrike">
                <a:solidFill>
                  <a:srgbClr val="9EF04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R$ 54,11</a:t>
            </a:fld>
            <a:endParaRPr lang="pt-BR" sz="3600" b="1" i="0" u="none" strike="noStrike">
              <a:solidFill>
                <a:srgbClr val="9EF04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13</xdr:col>
      <xdr:colOff>368014</xdr:colOff>
      <xdr:row>5</xdr:row>
      <xdr:rowOff>7729</xdr:rowOff>
    </xdr:from>
    <xdr:to>
      <xdr:col>17</xdr:col>
      <xdr:colOff>549926</xdr:colOff>
      <xdr:row>13</xdr:row>
      <xdr:rowOff>110098</xdr:rowOff>
    </xdr:to>
    <xdr:grpSp>
      <xdr:nvGrpSpPr>
        <xdr:cNvPr id="126" name="Agrupar 125">
          <a:extLst>
            <a:ext uri="{FF2B5EF4-FFF2-40B4-BE49-F238E27FC236}">
              <a16:creationId xmlns:a16="http://schemas.microsoft.com/office/drawing/2014/main" id="{84434439-D575-ED48-B350-2DF44597DFEB}"/>
            </a:ext>
          </a:extLst>
        </xdr:cNvPr>
        <xdr:cNvGrpSpPr/>
      </xdr:nvGrpSpPr>
      <xdr:grpSpPr>
        <a:xfrm>
          <a:off x="9918414" y="1650262"/>
          <a:ext cx="2891245" cy="1888836"/>
          <a:chOff x="2514656" y="1781865"/>
          <a:chExt cx="2393178" cy="1104308"/>
        </a:xfrm>
      </xdr:grpSpPr>
      <xdr:grpSp>
        <xdr:nvGrpSpPr>
          <xdr:cNvPr id="127" name="Agrupar 126">
            <a:extLst>
              <a:ext uri="{FF2B5EF4-FFF2-40B4-BE49-F238E27FC236}">
                <a16:creationId xmlns:a16="http://schemas.microsoft.com/office/drawing/2014/main" id="{FBBF32E8-7ADD-0939-0F8B-251699EF743A}"/>
              </a:ext>
            </a:extLst>
          </xdr:cNvPr>
          <xdr:cNvGrpSpPr/>
        </xdr:nvGrpSpPr>
        <xdr:grpSpPr>
          <a:xfrm>
            <a:off x="2516626" y="1781865"/>
            <a:ext cx="2391208" cy="1104308"/>
            <a:chOff x="2748421" y="3348581"/>
            <a:chExt cx="2157729" cy="1260206"/>
          </a:xfrm>
        </xdr:grpSpPr>
        <xdr:sp macro="" textlink="">
          <xdr:nvSpPr>
            <xdr:cNvPr id="129" name="Retângulo Arredondado 128">
              <a:extLst>
                <a:ext uri="{FF2B5EF4-FFF2-40B4-BE49-F238E27FC236}">
                  <a16:creationId xmlns:a16="http://schemas.microsoft.com/office/drawing/2014/main" id="{51115C74-7AD8-5C87-D4D1-CF94FB0AD9E4}"/>
                </a:ext>
              </a:extLst>
            </xdr:cNvPr>
            <xdr:cNvSpPr>
              <a:spLocks noChangeAspect="1"/>
            </xdr:cNvSpPr>
          </xdr:nvSpPr>
          <xdr:spPr>
            <a:xfrm>
              <a:off x="2748422" y="3348585"/>
              <a:ext cx="2157249" cy="1260202"/>
            </a:xfrm>
            <a:prstGeom prst="roundRect">
              <a:avLst>
                <a:gd name="adj" fmla="val 9736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3600" b="1" i="0">
                <a:solidFill>
                  <a:srgbClr val="9EF04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130" name="Retângulo com Canto Arredondado do Mesmo Lado 129">
              <a:extLst>
                <a:ext uri="{FF2B5EF4-FFF2-40B4-BE49-F238E27FC236}">
                  <a16:creationId xmlns:a16="http://schemas.microsoft.com/office/drawing/2014/main" id="{1B83910E-3224-2805-8B69-8BB1D3734E01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157729" cy="387598"/>
            </a:xfrm>
            <a:prstGeom prst="round2SameRect">
              <a:avLst>
                <a:gd name="adj1" fmla="val 22908"/>
                <a:gd name="adj2" fmla="val 0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r>
                <a:rPr lang="en-US" sz="2400" b="1" i="0" u="none" strike="noStrike" baseline="0">
                  <a:solidFill>
                    <a:srgbClr val="1A3312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Discount Rate</a:t>
              </a:r>
              <a:endParaRPr lang="pt-BR" sz="7200" b="1" i="0">
                <a:solidFill>
                  <a:srgbClr val="1A3312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sp macro="" textlink="discount_rate">
        <xdr:nvSpPr>
          <xdr:cNvPr id="128" name="Retângulo Arredondado 127">
            <a:extLst>
              <a:ext uri="{FF2B5EF4-FFF2-40B4-BE49-F238E27FC236}">
                <a16:creationId xmlns:a16="http://schemas.microsoft.com/office/drawing/2014/main" id="{6C320E68-4E97-F89C-A17D-5561D450ABA0}"/>
              </a:ext>
            </a:extLst>
          </xdr:cNvPr>
          <xdr:cNvSpPr/>
        </xdr:nvSpPr>
        <xdr:spPr>
          <a:xfrm>
            <a:off x="2514656" y="2008049"/>
            <a:ext cx="2359417" cy="86845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22BD6050-1D13-DC49-B2A4-781AB955CF7D}" type="TxLink">
              <a:rPr lang="en-US" sz="3600" b="1" i="0" u="none" strike="noStrike">
                <a:solidFill>
                  <a:srgbClr val="9EF04E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pPr marL="0" indent="0" algn="ctr"/>
              <a:t>18,42%</a:t>
            </a:fld>
            <a:endParaRPr lang="pt-BR" sz="3600" b="1" i="0" u="none" strike="noStrike">
              <a:solidFill>
                <a:srgbClr val="9EF04E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12</xdr:col>
      <xdr:colOff>328589</xdr:colOff>
      <xdr:row>0</xdr:row>
      <xdr:rowOff>135467</xdr:rowOff>
    </xdr:from>
    <xdr:to>
      <xdr:col>21</xdr:col>
      <xdr:colOff>207516</xdr:colOff>
      <xdr:row>2</xdr:row>
      <xdr:rowOff>44077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149" name="Start Date 1">
              <a:extLst>
                <a:ext uri="{FF2B5EF4-FFF2-40B4-BE49-F238E27FC236}">
                  <a16:creationId xmlns:a16="http://schemas.microsoft.com/office/drawing/2014/main" id="{C3472E53-DB78-1C4C-8498-DA06ECD2B7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Start D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656" y="135467"/>
              <a:ext cx="5974927" cy="106007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575205</xdr:colOff>
      <xdr:row>0</xdr:row>
      <xdr:rowOff>135473</xdr:rowOff>
    </xdr:from>
    <xdr:to>
      <xdr:col>0</xdr:col>
      <xdr:colOff>1698208</xdr:colOff>
      <xdr:row>4</xdr:row>
      <xdr:rowOff>37757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0C2EBA8-88F2-864A-B31C-DECB329B78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334" t="8822" r="71616" b="8843"/>
        <a:stretch/>
      </xdr:blipFill>
      <xdr:spPr>
        <a:xfrm>
          <a:off x="575205" y="135473"/>
          <a:ext cx="1123003" cy="1426284"/>
        </a:xfrm>
        <a:prstGeom prst="rect">
          <a:avLst/>
        </a:prstGeom>
      </xdr:spPr>
    </xdr:pic>
    <xdr:clientData/>
  </xdr:twoCellAnchor>
  <xdr:twoCellAnchor editAs="absolute">
    <xdr:from>
      <xdr:col>0</xdr:col>
      <xdr:colOff>147047</xdr:colOff>
      <xdr:row>5</xdr:row>
      <xdr:rowOff>240058</xdr:rowOff>
    </xdr:from>
    <xdr:to>
      <xdr:col>0</xdr:col>
      <xdr:colOff>2152091</xdr:colOff>
      <xdr:row>11</xdr:row>
      <xdr:rowOff>52416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 3">
              <a:extLst>
                <a:ext uri="{FF2B5EF4-FFF2-40B4-BE49-F238E27FC236}">
                  <a16:creationId xmlns:a16="http://schemas.microsoft.com/office/drawing/2014/main" id="{DBB0FBB3-128D-429D-87F1-058CB5869F86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047" y="1882591"/>
              <a:ext cx="2005044" cy="120935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137707</xdr:colOff>
      <xdr:row>12</xdr:row>
      <xdr:rowOff>78195</xdr:rowOff>
    </xdr:from>
    <xdr:to>
      <xdr:col>0</xdr:col>
      <xdr:colOff>2128656</xdr:colOff>
      <xdr:row>17</xdr:row>
      <xdr:rowOff>3194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4" name="EA Play Season Pass 2">
              <a:extLst>
                <a:ext uri="{FF2B5EF4-FFF2-40B4-BE49-F238E27FC236}">
                  <a16:creationId xmlns:a16="http://schemas.microsoft.com/office/drawing/2014/main" id="{1EEBBBE2-259F-584B-BE18-FC0954997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7707" y="3312462"/>
              <a:ext cx="1990949" cy="8986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256917</xdr:colOff>
      <xdr:row>11</xdr:row>
      <xdr:rowOff>93159</xdr:rowOff>
    </xdr:from>
    <xdr:to>
      <xdr:col>0</xdr:col>
      <xdr:colOff>610623</xdr:colOff>
      <xdr:row>13</xdr:row>
      <xdr:rowOff>69994</xdr:rowOff>
    </xdr:to>
    <xdr:pic>
      <xdr:nvPicPr>
        <xdr:cNvPr id="155" name="Imagem 154">
          <a:extLst>
            <a:ext uri="{FF2B5EF4-FFF2-40B4-BE49-F238E27FC236}">
              <a16:creationId xmlns:a16="http://schemas.microsoft.com/office/drawing/2014/main" id="{2802A185-1FD2-2E4C-97E9-58A43C61F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917" y="3132692"/>
          <a:ext cx="353706" cy="366302"/>
        </a:xfrm>
        <a:prstGeom prst="ellipse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  <xdr:twoCellAnchor editAs="absolute">
    <xdr:from>
      <xdr:col>0</xdr:col>
      <xdr:colOff>121321</xdr:colOff>
      <xdr:row>18</xdr:row>
      <xdr:rowOff>93595</xdr:rowOff>
    </xdr:from>
    <xdr:to>
      <xdr:col>0</xdr:col>
      <xdr:colOff>2112270</xdr:colOff>
      <xdr:row>23</xdr:row>
      <xdr:rowOff>21032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5" name="Minecraft Season Pass 2">
              <a:extLst>
                <a:ext uri="{FF2B5EF4-FFF2-40B4-BE49-F238E27FC236}">
                  <a16:creationId xmlns:a16="http://schemas.microsoft.com/office/drawing/2014/main" id="{EAF27338-8624-9449-A2F0-D3B8BB9C43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321" y="4496262"/>
              <a:ext cx="1990949" cy="9011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 editAs="absolute">
    <xdr:from>
      <xdr:col>0</xdr:col>
      <xdr:colOff>179778</xdr:colOff>
      <xdr:row>17</xdr:row>
      <xdr:rowOff>96119</xdr:rowOff>
    </xdr:from>
    <xdr:to>
      <xdr:col>0</xdr:col>
      <xdr:colOff>829369</xdr:colOff>
      <xdr:row>19</xdr:row>
      <xdr:rowOff>68286</xdr:rowOff>
    </xdr:to>
    <xdr:grpSp>
      <xdr:nvGrpSpPr>
        <xdr:cNvPr id="152" name="Agrupar 151">
          <a:extLst>
            <a:ext uri="{FF2B5EF4-FFF2-40B4-BE49-F238E27FC236}">
              <a16:creationId xmlns:a16="http://schemas.microsoft.com/office/drawing/2014/main" id="{4AB79A14-B866-A340-A631-E225C9D2352A}"/>
            </a:ext>
          </a:extLst>
        </xdr:cNvPr>
        <xdr:cNvGrpSpPr>
          <a:grpSpLocks noChangeAspect="1"/>
        </xdr:cNvGrpSpPr>
      </xdr:nvGrpSpPr>
      <xdr:grpSpPr>
        <a:xfrm>
          <a:off x="179778" y="4304052"/>
          <a:ext cx="649591" cy="361634"/>
          <a:chOff x="3495675" y="5400674"/>
          <a:chExt cx="1549476" cy="752476"/>
        </a:xfrm>
      </xdr:grpSpPr>
      <xdr:pic>
        <xdr:nvPicPr>
          <xdr:cNvPr id="153" name="Imagem 152">
            <a:extLst>
              <a:ext uri="{FF2B5EF4-FFF2-40B4-BE49-F238E27FC236}">
                <a16:creationId xmlns:a16="http://schemas.microsoft.com/office/drawing/2014/main" id="{77636EB4-B41D-BF11-F257-12AE95B1BE7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54" name="Gráfico 153">
            <a:extLst>
              <a:ext uri="{FF2B5EF4-FFF2-40B4-BE49-F238E27FC236}">
                <a16:creationId xmlns:a16="http://schemas.microsoft.com/office/drawing/2014/main" id="{65EAF5A7-CC70-3C16-49A1-C3369F6D204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 fLocksWithSheet="0"/>
  </xdr:twoCellAnchor>
  <xdr:twoCellAnchor editAs="absolute">
    <xdr:from>
      <xdr:col>0</xdr:col>
      <xdr:colOff>214407</xdr:colOff>
      <xdr:row>5</xdr:row>
      <xdr:rowOff>11645</xdr:rowOff>
    </xdr:from>
    <xdr:to>
      <xdr:col>0</xdr:col>
      <xdr:colOff>693697</xdr:colOff>
      <xdr:row>6</xdr:row>
      <xdr:rowOff>62945</xdr:rowOff>
    </xdr:to>
    <xdr:grpSp>
      <xdr:nvGrpSpPr>
        <xdr:cNvPr id="221" name="Agrupar 220">
          <a:extLst>
            <a:ext uri="{FF2B5EF4-FFF2-40B4-BE49-F238E27FC236}">
              <a16:creationId xmlns:a16="http://schemas.microsoft.com/office/drawing/2014/main" id="{6201DB6E-CE0F-F8DF-A297-F5CFE0EB60B8}"/>
            </a:ext>
          </a:extLst>
        </xdr:cNvPr>
        <xdr:cNvGrpSpPr/>
      </xdr:nvGrpSpPr>
      <xdr:grpSpPr>
        <a:xfrm>
          <a:off x="214407" y="1654178"/>
          <a:ext cx="479290" cy="474634"/>
          <a:chOff x="235752" y="1823810"/>
          <a:chExt cx="324353" cy="291706"/>
        </a:xfrm>
      </xdr:grpSpPr>
      <xdr:pic>
        <xdr:nvPicPr>
          <xdr:cNvPr id="193" name="Gráfico 192" descr="Calendário diário com preenchimento sólido">
            <a:extLst>
              <a:ext uri="{FF2B5EF4-FFF2-40B4-BE49-F238E27FC236}">
                <a16:creationId xmlns:a16="http://schemas.microsoft.com/office/drawing/2014/main" id="{F673F9E0-956E-344B-9679-6F527F4A82E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7"/>
              </a:ext>
            </a:extLst>
          </a:blip>
          <a:stretch>
            <a:fillRect/>
          </a:stretch>
        </xdr:blipFill>
        <xdr:spPr>
          <a:xfrm>
            <a:off x="235752" y="1823810"/>
            <a:ext cx="265734" cy="267695"/>
          </a:xfrm>
          <a:prstGeom prst="rect">
            <a:avLst/>
          </a:prstGeom>
        </xdr:spPr>
      </xdr:pic>
      <xdr:pic>
        <xdr:nvPicPr>
          <xdr:cNvPr id="212" name="Gráfico 211" descr="Filantropia com preenchimento sólido">
            <a:extLst>
              <a:ext uri="{FF2B5EF4-FFF2-40B4-BE49-F238E27FC236}">
                <a16:creationId xmlns:a16="http://schemas.microsoft.com/office/drawing/2014/main" id="{B98A8136-B462-0CE9-E284-3DBB69AFE0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9"/>
              </a:ext>
            </a:extLst>
          </a:blip>
          <a:stretch>
            <a:fillRect/>
          </a:stretch>
        </xdr:blipFill>
        <xdr:spPr>
          <a:xfrm rot="479244">
            <a:off x="323662" y="1877371"/>
            <a:ext cx="236443" cy="238145"/>
          </a:xfrm>
          <a:prstGeom prst="rect">
            <a:avLst/>
          </a:prstGeom>
        </xdr:spPr>
      </xdr:pic>
    </xdr:grpSp>
    <xdr:clientData fLocksWithSheet="0"/>
  </xdr:twoCellAnchor>
  <xdr:twoCellAnchor editAs="absolute">
    <xdr:from>
      <xdr:col>17</xdr:col>
      <xdr:colOff>668030</xdr:colOff>
      <xdr:row>5</xdr:row>
      <xdr:rowOff>597</xdr:rowOff>
    </xdr:from>
    <xdr:to>
      <xdr:col>21</xdr:col>
      <xdr:colOff>537404</xdr:colOff>
      <xdr:row>13</xdr:row>
      <xdr:rowOff>117230</xdr:rowOff>
    </xdr:to>
    <xdr:grpSp>
      <xdr:nvGrpSpPr>
        <xdr:cNvPr id="225" name="Agrupar 224">
          <a:extLst>
            <a:ext uri="{FF2B5EF4-FFF2-40B4-BE49-F238E27FC236}">
              <a16:creationId xmlns:a16="http://schemas.microsoft.com/office/drawing/2014/main" id="{0EFBE361-A270-FF41-A286-A2701ADA648D}"/>
            </a:ext>
          </a:extLst>
        </xdr:cNvPr>
        <xdr:cNvGrpSpPr/>
      </xdr:nvGrpSpPr>
      <xdr:grpSpPr>
        <a:xfrm>
          <a:off x="12927763" y="1643130"/>
          <a:ext cx="2578708" cy="1903100"/>
          <a:chOff x="12666131" y="1837267"/>
          <a:chExt cx="2573868" cy="1913466"/>
        </a:xfrm>
      </xdr:grpSpPr>
      <xdr:graphicFrame macro="">
        <xdr:nvGraphicFramePr>
          <xdr:cNvPr id="226" name="Gráfico 225">
            <a:extLst>
              <a:ext uri="{FF2B5EF4-FFF2-40B4-BE49-F238E27FC236}">
                <a16:creationId xmlns:a16="http://schemas.microsoft.com/office/drawing/2014/main" id="{C42FBF1D-B6E7-406B-C24D-C274430646FA}"/>
              </a:ext>
            </a:extLst>
          </xdr:cNvPr>
          <xdr:cNvGraphicFramePr>
            <a:graphicFrameLocks/>
          </xdr:cNvGraphicFramePr>
        </xdr:nvGraphicFramePr>
        <xdr:xfrm>
          <a:off x="12666131" y="1888067"/>
          <a:ext cx="2573868" cy="186266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0"/>
          </a:graphicData>
        </a:graphic>
      </xdr:graphicFrame>
      <xdr:sp macro="" textlink="renewal_rate">
        <xdr:nvSpPr>
          <xdr:cNvPr id="227" name="Oval 226">
            <a:extLst>
              <a:ext uri="{FF2B5EF4-FFF2-40B4-BE49-F238E27FC236}">
                <a16:creationId xmlns:a16="http://schemas.microsoft.com/office/drawing/2014/main" id="{2546A165-30C1-8E8B-FF8C-E037F834DF26}"/>
              </a:ext>
            </a:extLst>
          </xdr:cNvPr>
          <xdr:cNvSpPr>
            <a:spLocks noChangeAspect="1"/>
          </xdr:cNvSpPr>
        </xdr:nvSpPr>
        <xdr:spPr>
          <a:xfrm>
            <a:off x="13174133" y="2260599"/>
            <a:ext cx="1075269" cy="1075269"/>
          </a:xfrm>
          <a:prstGeom prst="ellipse">
            <a:avLst/>
          </a:prstGeom>
          <a:noFill/>
          <a:ln>
            <a:noFill/>
          </a:ln>
        </xdr:spPr>
        <xdr:style>
          <a:lnRef idx="2">
            <a:schemeClr val="accent2"/>
          </a:lnRef>
          <a:fillRef idx="1">
            <a:schemeClr val="lt1"/>
          </a:fillRef>
          <a:effectRef idx="0">
            <a:schemeClr val="accent2"/>
          </a:effectRef>
          <a:fontRef idx="minor">
            <a:schemeClr val="dk1"/>
          </a:fontRef>
        </xdr:style>
        <xdr:txBody>
          <a:bodyPr vertOverflow="clip" horzOverflow="clip" lIns="0" tIns="0" rIns="0" bIns="0" rtlCol="0" anchor="ctr"/>
          <a:lstStyle/>
          <a:p>
            <a:pPr algn="ctr"/>
            <a:fld id="{05D60E26-99AE-EE4D-AA12-38D0EE5F1265}" type="TxLink">
              <a:rPr lang="en-US" sz="1800" b="1" i="0" u="none" strike="noStrike">
                <a:solidFill>
                  <a:srgbClr val="1A331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50,4%</a:t>
            </a:fld>
            <a:endParaRPr lang="en-US" sz="1800" b="1" i="0">
              <a:solidFill>
                <a:srgbClr val="1A331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28" name="Retângulo com Canto Arredondado do Mesmo Lado 227">
            <a:extLst>
              <a:ext uri="{FF2B5EF4-FFF2-40B4-BE49-F238E27FC236}">
                <a16:creationId xmlns:a16="http://schemas.microsoft.com/office/drawing/2014/main" id="{9BCD86F2-2F5E-081D-C54E-519D3CE43B16}"/>
              </a:ext>
            </a:extLst>
          </xdr:cNvPr>
          <xdr:cNvSpPr>
            <a:spLocks noChangeAspect="1"/>
          </xdr:cNvSpPr>
        </xdr:nvSpPr>
        <xdr:spPr>
          <a:xfrm>
            <a:off x="14088534" y="1837267"/>
            <a:ext cx="1007533" cy="444538"/>
          </a:xfrm>
          <a:prstGeom prst="round2SameRect">
            <a:avLst>
              <a:gd name="adj1" fmla="val 22908"/>
              <a:gd name="adj2" fmla="val 0"/>
            </a:avLst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en-US" sz="2400" b="1" i="0" u="none" strike="noStrike" baseline="0">
                <a:solidFill>
                  <a:srgbClr val="1A3312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AARI</a:t>
            </a:r>
            <a:endParaRPr lang="pt-BR" sz="5400" b="1" i="0">
              <a:solidFill>
                <a:srgbClr val="1A3312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2</xdr:col>
      <xdr:colOff>123514</xdr:colOff>
      <xdr:row>14</xdr:row>
      <xdr:rowOff>185269</xdr:rowOff>
    </xdr:from>
    <xdr:to>
      <xdr:col>8</xdr:col>
      <xdr:colOff>16624</xdr:colOff>
      <xdr:row>31</xdr:row>
      <xdr:rowOff>9295</xdr:rowOff>
    </xdr:to>
    <xdr:grpSp>
      <xdr:nvGrpSpPr>
        <xdr:cNvPr id="229" name="Agrupar 228">
          <a:extLst>
            <a:ext uri="{FF2B5EF4-FFF2-40B4-BE49-F238E27FC236}">
              <a16:creationId xmlns:a16="http://schemas.microsoft.com/office/drawing/2014/main" id="{B68207F1-E43C-0E46-87B9-30E8D2E401C3}"/>
            </a:ext>
          </a:extLst>
        </xdr:cNvPr>
        <xdr:cNvGrpSpPr/>
      </xdr:nvGrpSpPr>
      <xdr:grpSpPr>
        <a:xfrm>
          <a:off x="2824381" y="3809002"/>
          <a:ext cx="3957110" cy="3134493"/>
          <a:chOff x="2413782" y="3515787"/>
          <a:chExt cx="4149578" cy="3098373"/>
        </a:xfrm>
      </xdr:grpSpPr>
      <xdr:grpSp>
        <xdr:nvGrpSpPr>
          <xdr:cNvPr id="230" name="Agrupar 229">
            <a:extLst>
              <a:ext uri="{FF2B5EF4-FFF2-40B4-BE49-F238E27FC236}">
                <a16:creationId xmlns:a16="http://schemas.microsoft.com/office/drawing/2014/main" id="{A0E59E8B-2A98-8833-6B3A-FD19BA5A776C}"/>
              </a:ext>
            </a:extLst>
          </xdr:cNvPr>
          <xdr:cNvGrpSpPr/>
        </xdr:nvGrpSpPr>
        <xdr:grpSpPr>
          <a:xfrm>
            <a:off x="2413782" y="3515787"/>
            <a:ext cx="4149578" cy="3098373"/>
            <a:chOff x="2748421" y="3348581"/>
            <a:chExt cx="2683416" cy="1567574"/>
          </a:xfrm>
        </xdr:grpSpPr>
        <xdr:sp macro="" textlink="">
          <xdr:nvSpPr>
            <xdr:cNvPr id="232" name="Retângulo Arredondado 231">
              <a:extLst>
                <a:ext uri="{FF2B5EF4-FFF2-40B4-BE49-F238E27FC236}">
                  <a16:creationId xmlns:a16="http://schemas.microsoft.com/office/drawing/2014/main" id="{E11A4145-010A-66B9-4E69-CD43D2D8FE7C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1567574"/>
            </a:xfrm>
            <a:prstGeom prst="roundRect">
              <a:avLst>
                <a:gd name="adj" fmla="val 9736"/>
              </a:avLst>
            </a:prstGeom>
            <a:solidFill>
              <a:srgbClr val="FFFFFF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3" name="Retângulo com Canto Arredondado do Mesmo Lado 232">
              <a:extLst>
                <a:ext uri="{FF2B5EF4-FFF2-40B4-BE49-F238E27FC236}">
                  <a16:creationId xmlns:a16="http://schemas.microsoft.com/office/drawing/2014/main" id="{8756A203-EFAE-AF1F-4EF1-8E9EDBB57EE6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271805"/>
            </a:xfrm>
            <a:prstGeom prst="round2SameRect">
              <a:avLst>
                <a:gd name="adj1" fmla="val 45710"/>
                <a:gd name="adj2" fmla="val 0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 i="0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Revenue Evolution</a:t>
              </a:r>
              <a:endParaRPr lang="pt-BR" sz="3200" b="1" i="0">
                <a:solidFill>
                  <a:srgbClr val="9EF04E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aphicFrame macro="">
        <xdr:nvGraphicFramePr>
          <xdr:cNvPr id="231" name="Gráfico 230">
            <a:extLst>
              <a:ext uri="{FF2B5EF4-FFF2-40B4-BE49-F238E27FC236}">
                <a16:creationId xmlns:a16="http://schemas.microsoft.com/office/drawing/2014/main" id="{B117C942-CA69-0346-518B-7406F3B71112}"/>
              </a:ext>
            </a:extLst>
          </xdr:cNvPr>
          <xdr:cNvGraphicFramePr>
            <a:graphicFrameLocks/>
          </xdr:cNvGraphicFramePr>
        </xdr:nvGraphicFramePr>
        <xdr:xfrm>
          <a:off x="2537996" y="4179021"/>
          <a:ext cx="3917405" cy="232541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1"/>
          </a:graphicData>
        </a:graphic>
      </xdr:graphicFrame>
    </xdr:grpSp>
    <xdr:clientData/>
  </xdr:twoCellAnchor>
  <xdr:twoCellAnchor editAs="absolute">
    <xdr:from>
      <xdr:col>8</xdr:col>
      <xdr:colOff>348604</xdr:colOff>
      <xdr:row>14</xdr:row>
      <xdr:rowOff>185269</xdr:rowOff>
    </xdr:from>
    <xdr:to>
      <xdr:col>15</xdr:col>
      <xdr:colOff>148961</xdr:colOff>
      <xdr:row>31</xdr:row>
      <xdr:rowOff>9295</xdr:rowOff>
    </xdr:to>
    <xdr:grpSp>
      <xdr:nvGrpSpPr>
        <xdr:cNvPr id="234" name="Agrupar 233">
          <a:extLst>
            <a:ext uri="{FF2B5EF4-FFF2-40B4-BE49-F238E27FC236}">
              <a16:creationId xmlns:a16="http://schemas.microsoft.com/office/drawing/2014/main" id="{681E2D8B-68DF-D24C-BC0F-F64ADDE8D182}"/>
            </a:ext>
          </a:extLst>
        </xdr:cNvPr>
        <xdr:cNvGrpSpPr/>
      </xdr:nvGrpSpPr>
      <xdr:grpSpPr>
        <a:xfrm>
          <a:off x="7113471" y="3809002"/>
          <a:ext cx="3940557" cy="3134493"/>
          <a:chOff x="6843542" y="3414187"/>
          <a:chExt cx="4149578" cy="3749040"/>
        </a:xfrm>
      </xdr:grpSpPr>
      <xdr:grpSp>
        <xdr:nvGrpSpPr>
          <xdr:cNvPr id="235" name="Agrupar 234">
            <a:extLst>
              <a:ext uri="{FF2B5EF4-FFF2-40B4-BE49-F238E27FC236}">
                <a16:creationId xmlns:a16="http://schemas.microsoft.com/office/drawing/2014/main" id="{46D7EC2D-294A-45A8-B7D8-6DF15CAA0C4E}"/>
              </a:ext>
            </a:extLst>
          </xdr:cNvPr>
          <xdr:cNvGrpSpPr/>
        </xdr:nvGrpSpPr>
        <xdr:grpSpPr>
          <a:xfrm>
            <a:off x="6843542" y="3414187"/>
            <a:ext cx="4149578" cy="3749040"/>
            <a:chOff x="2748421" y="3348581"/>
            <a:chExt cx="2683416" cy="1567574"/>
          </a:xfrm>
        </xdr:grpSpPr>
        <xdr:sp macro="" textlink="">
          <xdr:nvSpPr>
            <xdr:cNvPr id="237" name="Retângulo Arredondado 236">
              <a:extLst>
                <a:ext uri="{FF2B5EF4-FFF2-40B4-BE49-F238E27FC236}">
                  <a16:creationId xmlns:a16="http://schemas.microsoft.com/office/drawing/2014/main" id="{BE0E3999-CA6C-12B6-3983-A4E3667BFFA4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1567574"/>
            </a:xfrm>
            <a:prstGeom prst="roundRect">
              <a:avLst>
                <a:gd name="adj" fmla="val 9736"/>
              </a:avLst>
            </a:prstGeom>
            <a:solidFill>
              <a:srgbClr val="FFFFFF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38" name="Retângulo com Canto Arredondado do Mesmo Lado 237">
              <a:extLst>
                <a:ext uri="{FF2B5EF4-FFF2-40B4-BE49-F238E27FC236}">
                  <a16:creationId xmlns:a16="http://schemas.microsoft.com/office/drawing/2014/main" id="{5A2E73D7-22A0-011C-364F-06B32EEC0E25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271805"/>
            </a:xfrm>
            <a:prstGeom prst="round2SameRect">
              <a:avLst>
                <a:gd name="adj1" fmla="val 45710"/>
                <a:gd name="adj2" fmla="val 0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400" b="1" i="0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Revenue Bridge</a:t>
              </a:r>
            </a:p>
          </xdr:txBody>
        </xdr:sp>
      </xdr:grpSp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236" name="Gráfico 235">
                <a:extLst>
                  <a:ext uri="{FF2B5EF4-FFF2-40B4-BE49-F238E27FC236}">
                    <a16:creationId xmlns:a16="http://schemas.microsoft.com/office/drawing/2014/main" id="{6055257E-EC0D-BAA3-7D53-2AE3E75D347E}"/>
                  </a:ext>
                </a:extLst>
              </xdr:cNvPr>
              <xdr:cNvGraphicFramePr/>
            </xdr:nvGraphicFramePr>
            <xdr:xfrm>
              <a:off x="6925868" y="3939658"/>
              <a:ext cx="3974988" cy="3127877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12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6925868" y="3939658"/>
                <a:ext cx="3974988" cy="3127877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</xdr:grpSp>
    <xdr:clientData/>
  </xdr:twoCellAnchor>
  <xdr:twoCellAnchor editAs="absolute">
    <xdr:from>
      <xdr:col>15</xdr:col>
      <xdr:colOff>489220</xdr:colOff>
      <xdr:row>14</xdr:row>
      <xdr:rowOff>185269</xdr:rowOff>
    </xdr:from>
    <xdr:to>
      <xdr:col>21</xdr:col>
      <xdr:colOff>374532</xdr:colOff>
      <xdr:row>31</xdr:row>
      <xdr:rowOff>9295</xdr:rowOff>
    </xdr:to>
    <xdr:grpSp>
      <xdr:nvGrpSpPr>
        <xdr:cNvPr id="239" name="Agrupar 238">
          <a:extLst>
            <a:ext uri="{FF2B5EF4-FFF2-40B4-BE49-F238E27FC236}">
              <a16:creationId xmlns:a16="http://schemas.microsoft.com/office/drawing/2014/main" id="{7195BD10-2AF9-AF41-86D2-250FF7EBC132}"/>
            </a:ext>
          </a:extLst>
        </xdr:cNvPr>
        <xdr:cNvGrpSpPr/>
      </xdr:nvGrpSpPr>
      <xdr:grpSpPr>
        <a:xfrm>
          <a:off x="11394287" y="3809002"/>
          <a:ext cx="3949312" cy="3134493"/>
          <a:chOff x="11136142" y="3386668"/>
          <a:chExt cx="4281657" cy="3420532"/>
        </a:xfrm>
      </xdr:grpSpPr>
      <xdr:grpSp>
        <xdr:nvGrpSpPr>
          <xdr:cNvPr id="240" name="Agrupar 239">
            <a:extLst>
              <a:ext uri="{FF2B5EF4-FFF2-40B4-BE49-F238E27FC236}">
                <a16:creationId xmlns:a16="http://schemas.microsoft.com/office/drawing/2014/main" id="{1E5CCCD7-6AF5-27EA-3089-9A426465C38C}"/>
              </a:ext>
            </a:extLst>
          </xdr:cNvPr>
          <xdr:cNvGrpSpPr/>
        </xdr:nvGrpSpPr>
        <xdr:grpSpPr>
          <a:xfrm>
            <a:off x="11136142" y="3386668"/>
            <a:ext cx="4281657" cy="3420532"/>
            <a:chOff x="2748421" y="3348581"/>
            <a:chExt cx="2683416" cy="1567574"/>
          </a:xfrm>
        </xdr:grpSpPr>
        <xdr:sp macro="" textlink="">
          <xdr:nvSpPr>
            <xdr:cNvPr id="242" name="Retângulo Arredondado 241">
              <a:extLst>
                <a:ext uri="{FF2B5EF4-FFF2-40B4-BE49-F238E27FC236}">
                  <a16:creationId xmlns:a16="http://schemas.microsoft.com/office/drawing/2014/main" id="{E6575769-5E52-61F4-51FB-52ED47711E42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1567574"/>
            </a:xfrm>
            <a:prstGeom prst="roundRect">
              <a:avLst>
                <a:gd name="adj" fmla="val 9736"/>
              </a:avLst>
            </a:prstGeom>
            <a:solidFill>
              <a:srgbClr val="FFFFFF"/>
            </a:solidFill>
            <a:ln>
              <a:noFill/>
            </a:ln>
          </xdr:spPr>
          <xdr:style>
            <a:lnRef idx="2">
              <a:schemeClr val="accent6">
                <a:shade val="50000"/>
              </a:schemeClr>
            </a:lnRef>
            <a:fillRef idx="1">
              <a:schemeClr val="accent6"/>
            </a:fillRef>
            <a:effectRef idx="0">
              <a:schemeClr val="accent6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">
          <xdr:nvSpPr>
            <xdr:cNvPr id="243" name="Retângulo com Canto Arredondado do Mesmo Lado 242">
              <a:extLst>
                <a:ext uri="{FF2B5EF4-FFF2-40B4-BE49-F238E27FC236}">
                  <a16:creationId xmlns:a16="http://schemas.microsoft.com/office/drawing/2014/main" id="{C2618528-2503-B2E5-E181-F4AA50D962BA}"/>
                </a:ext>
              </a:extLst>
            </xdr:cNvPr>
            <xdr:cNvSpPr>
              <a:spLocks noChangeAspect="1"/>
            </xdr:cNvSpPr>
          </xdr:nvSpPr>
          <xdr:spPr>
            <a:xfrm>
              <a:off x="2748421" y="3348581"/>
              <a:ext cx="2683416" cy="271805"/>
            </a:xfrm>
            <a:prstGeom prst="round2SameRect">
              <a:avLst>
                <a:gd name="adj1" fmla="val 45710"/>
                <a:gd name="adj2" fmla="val 0"/>
              </a:avLst>
            </a:prstGeom>
            <a:solidFill>
              <a:srgbClr val="000000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2000" b="1" i="0">
                  <a:solidFill>
                    <a:srgbClr val="9EF04E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Discount Impact by Plan</a:t>
              </a:r>
            </a:p>
          </xdr:txBody>
        </xdr:sp>
      </xdr:grpSp>
      <xdr:graphicFrame macro="">
        <xdr:nvGraphicFramePr>
          <xdr:cNvPr id="241" name="Gráfico 240">
            <a:extLst>
              <a:ext uri="{FF2B5EF4-FFF2-40B4-BE49-F238E27FC236}">
                <a16:creationId xmlns:a16="http://schemas.microsoft.com/office/drawing/2014/main" id="{30828AB8-1EB8-471E-67C8-D3951B05BAAD}"/>
              </a:ext>
            </a:extLst>
          </xdr:cNvPr>
          <xdr:cNvGraphicFramePr>
            <a:graphicFrameLocks/>
          </xdr:cNvGraphicFramePr>
        </xdr:nvGraphicFramePr>
        <xdr:xfrm>
          <a:off x="11137359" y="3987799"/>
          <a:ext cx="4246574" cy="28109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3"/>
          </a:graphicData>
        </a:graphic>
      </xdr:graphicFrame>
    </xdr:grpSp>
    <xdr:clientData/>
  </xdr:twoCellAnchor>
  <xdr:twoCellAnchor editAs="absolute">
    <xdr:from>
      <xdr:col>8</xdr:col>
      <xdr:colOff>594843</xdr:colOff>
      <xdr:row>29</xdr:row>
      <xdr:rowOff>30224</xdr:rowOff>
    </xdr:from>
    <xdr:to>
      <xdr:col>10</xdr:col>
      <xdr:colOff>175930</xdr:colOff>
      <xdr:row>29</xdr:row>
      <xdr:rowOff>180219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61D236D-5304-F8CA-EED5-9DB3668FF022}"/>
            </a:ext>
          </a:extLst>
        </xdr:cNvPr>
        <xdr:cNvSpPr/>
      </xdr:nvSpPr>
      <xdr:spPr>
        <a:xfrm>
          <a:off x="7313198" y="6708114"/>
          <a:ext cx="922559" cy="14768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t"/>
        <a:lstStyle/>
        <a:p>
          <a:pPr algn="l"/>
          <a:r>
            <a:rPr lang="pt-BR" sz="900" b="1" i="0">
              <a:solidFill>
                <a:srgbClr val="1A3312"/>
              </a:solidFill>
              <a:latin typeface="Segoe UI Semibold" panose="020B0502040204020203" pitchFamily="34" charset="0"/>
              <a:cs typeface="Segoe UI Semibold" panose="020B0502040204020203" pitchFamily="34" charset="0"/>
            </a:rPr>
            <a:t>Minecraft</a:t>
          </a:r>
          <a:r>
            <a:rPr lang="pt-BR" sz="900" b="1" i="0" baseline="0">
              <a:solidFill>
                <a:srgbClr val="1A3312"/>
              </a:solidFill>
              <a:latin typeface="Segoe UI Semibold" panose="020B0502040204020203" pitchFamily="34" charset="0"/>
              <a:cs typeface="Segoe UI Semibold" panose="020B0502040204020203" pitchFamily="34" charset="0"/>
            </a:rPr>
            <a:t> Season</a:t>
          </a:r>
          <a:endParaRPr lang="pt-BR" sz="900" b="1" i="0">
            <a:solidFill>
              <a:srgbClr val="1A3312"/>
            </a:solidFill>
            <a:latin typeface="Segoe UI Semibold" panose="020B0502040204020203" pitchFamily="34" charset="0"/>
            <a:cs typeface="Segoe UI Semibold" panose="020B0502040204020203" pitchFamily="34" charset="0"/>
          </a:endParaRPr>
        </a:p>
      </xdr:txBody>
    </xdr:sp>
    <xdr:clientData/>
  </xdr:twoCellAnchor>
  <xdr:twoCellAnchor editAs="oneCell">
    <xdr:from>
      <xdr:col>20</xdr:col>
      <xdr:colOff>630495</xdr:colOff>
      <xdr:row>6</xdr:row>
      <xdr:rowOff>9007</xdr:rowOff>
    </xdr:from>
    <xdr:to>
      <xdr:col>21</xdr:col>
      <xdr:colOff>360282</xdr:colOff>
      <xdr:row>7</xdr:row>
      <xdr:rowOff>36028</xdr:rowOff>
    </xdr:to>
    <xdr:pic>
      <xdr:nvPicPr>
        <xdr:cNvPr id="14" name="Gráfico 13" descr="Setas de Divisão com preenchimento sólido">
          <a:extLst>
            <a:ext uri="{FF2B5EF4-FFF2-40B4-BE49-F238E27FC236}">
              <a16:creationId xmlns:a16="http://schemas.microsoft.com/office/drawing/2014/main" id="{48F7D704-ED06-2542-A455-1B88EDE16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14879715" y="1945532"/>
          <a:ext cx="405319" cy="216170"/>
        </a:xfrm>
        <a:prstGeom prst="rect">
          <a:avLst/>
        </a:prstGeom>
      </xdr:spPr>
    </xdr:pic>
    <xdr:clientData/>
  </xdr:twoCellAnchor>
  <xdr:twoCellAnchor>
    <xdr:from>
      <xdr:col>20</xdr:col>
      <xdr:colOff>639505</xdr:colOff>
      <xdr:row>6</xdr:row>
      <xdr:rowOff>54042</xdr:rowOff>
    </xdr:from>
    <xdr:to>
      <xdr:col>21</xdr:col>
      <xdr:colOff>315249</xdr:colOff>
      <xdr:row>6</xdr:row>
      <xdr:rowOff>169165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73956D48-A011-1040-B0D7-551EC6087F94}"/>
            </a:ext>
          </a:extLst>
        </xdr:cNvPr>
        <xdr:cNvGrpSpPr/>
      </xdr:nvGrpSpPr>
      <xdr:grpSpPr>
        <a:xfrm>
          <a:off x="14931238" y="2119909"/>
          <a:ext cx="353078" cy="115123"/>
          <a:chOff x="3335465" y="66051"/>
          <a:chExt cx="703088" cy="184944"/>
        </a:xfrm>
      </xdr:grpSpPr>
      <xdr:sp macro="" textlink="">
        <xdr:nvSpPr>
          <xdr:cNvPr id="16" name="Forma Livre 15">
            <a:extLst>
              <a:ext uri="{FF2B5EF4-FFF2-40B4-BE49-F238E27FC236}">
                <a16:creationId xmlns:a16="http://schemas.microsoft.com/office/drawing/2014/main" id="{424B7002-6DE2-85F0-8AE1-7FDEE7799730}"/>
              </a:ext>
            </a:extLst>
          </xdr:cNvPr>
          <xdr:cNvSpPr/>
        </xdr:nvSpPr>
        <xdr:spPr>
          <a:xfrm>
            <a:off x="3515607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17" name="Forma Livre 16">
            <a:extLst>
              <a:ext uri="{FF2B5EF4-FFF2-40B4-BE49-F238E27FC236}">
                <a16:creationId xmlns:a16="http://schemas.microsoft.com/office/drawing/2014/main" id="{9B6A95E4-F57E-57C3-BD3A-E841668B4C4E}"/>
              </a:ext>
            </a:extLst>
          </xdr:cNvPr>
          <xdr:cNvSpPr/>
        </xdr:nvSpPr>
        <xdr:spPr>
          <a:xfrm>
            <a:off x="3695749" y="66051"/>
            <a:ext cx="251447" cy="184944"/>
          </a:xfrm>
          <a:custGeom>
            <a:avLst/>
            <a:gdLst>
              <a:gd name="connsiteX0" fmla="*/ 93824 w 251447"/>
              <a:gd name="connsiteY0" fmla="*/ 92472 h 184944"/>
              <a:gd name="connsiteX1" fmla="*/ 251448 w 251447"/>
              <a:gd name="connsiteY1" fmla="*/ 0 h 184944"/>
              <a:gd name="connsiteX2" fmla="*/ 157624 w 251447"/>
              <a:gd name="connsiteY2" fmla="*/ 0 h 184944"/>
              <a:gd name="connsiteX3" fmla="*/ 0 w 251447"/>
              <a:gd name="connsiteY3" fmla="*/ 92472 h 184944"/>
              <a:gd name="connsiteX4" fmla="*/ 157624 w 251447"/>
              <a:gd name="connsiteY4" fmla="*/ 184945 h 184944"/>
              <a:gd name="connsiteX5" fmla="*/ 251448 w 251447"/>
              <a:gd name="connsiteY5" fmla="*/ 184945 h 184944"/>
              <a:gd name="connsiteX6" fmla="*/ 93824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93824" y="92472"/>
                </a:move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18" name="Forma Livre 17">
            <a:extLst>
              <a:ext uri="{FF2B5EF4-FFF2-40B4-BE49-F238E27FC236}">
                <a16:creationId xmlns:a16="http://schemas.microsoft.com/office/drawing/2014/main" id="{E97CA8E9-4D84-5636-650D-60F47DB45F04}"/>
              </a:ext>
            </a:extLst>
          </xdr:cNvPr>
          <xdr:cNvSpPr/>
        </xdr:nvSpPr>
        <xdr:spPr>
          <a:xfrm>
            <a:off x="3335465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9EF04E"/>
          </a:solidFill>
          <a:ln w="7441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19" name="Forma Livre 18">
            <a:extLst>
              <a:ext uri="{FF2B5EF4-FFF2-40B4-BE49-F238E27FC236}">
                <a16:creationId xmlns:a16="http://schemas.microsoft.com/office/drawing/2014/main" id="{08940043-9017-311F-EDEE-7F02851FA39E}"/>
              </a:ext>
            </a:extLst>
          </xdr:cNvPr>
          <xdr:cNvSpPr/>
        </xdr:nvSpPr>
        <xdr:spPr>
          <a:xfrm>
            <a:off x="3606964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0" name="Forma Livre 19">
            <a:extLst>
              <a:ext uri="{FF2B5EF4-FFF2-40B4-BE49-F238E27FC236}">
                <a16:creationId xmlns:a16="http://schemas.microsoft.com/office/drawing/2014/main" id="{C8FA1839-FADB-75B3-181B-C13A9049E8D7}"/>
              </a:ext>
            </a:extLst>
          </xdr:cNvPr>
          <xdr:cNvSpPr/>
        </xdr:nvSpPr>
        <xdr:spPr>
          <a:xfrm>
            <a:off x="3787106" y="66051"/>
            <a:ext cx="251447" cy="184944"/>
          </a:xfrm>
          <a:custGeom>
            <a:avLst/>
            <a:gdLst>
              <a:gd name="connsiteX0" fmla="*/ 93824 w 251447"/>
              <a:gd name="connsiteY0" fmla="*/ 92472 h 184944"/>
              <a:gd name="connsiteX1" fmla="*/ 251448 w 251447"/>
              <a:gd name="connsiteY1" fmla="*/ 0 h 184944"/>
              <a:gd name="connsiteX2" fmla="*/ 157624 w 251447"/>
              <a:gd name="connsiteY2" fmla="*/ 0 h 184944"/>
              <a:gd name="connsiteX3" fmla="*/ 0 w 251447"/>
              <a:gd name="connsiteY3" fmla="*/ 92472 h 184944"/>
              <a:gd name="connsiteX4" fmla="*/ 157624 w 251447"/>
              <a:gd name="connsiteY4" fmla="*/ 184945 h 184944"/>
              <a:gd name="connsiteX5" fmla="*/ 251448 w 251447"/>
              <a:gd name="connsiteY5" fmla="*/ 184945 h 184944"/>
              <a:gd name="connsiteX6" fmla="*/ 93824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93824" y="92472"/>
                </a:move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  <xdr:sp macro="" textlink="">
        <xdr:nvSpPr>
          <xdr:cNvPr id="21" name="Forma Livre 20">
            <a:extLst>
              <a:ext uri="{FF2B5EF4-FFF2-40B4-BE49-F238E27FC236}">
                <a16:creationId xmlns:a16="http://schemas.microsoft.com/office/drawing/2014/main" id="{A45156B1-1550-E9D8-DB94-3AB644D7D9DE}"/>
              </a:ext>
            </a:extLst>
          </xdr:cNvPr>
          <xdr:cNvSpPr/>
        </xdr:nvSpPr>
        <xdr:spPr>
          <a:xfrm>
            <a:off x="3426822" y="66051"/>
            <a:ext cx="251447" cy="184944"/>
          </a:xfrm>
          <a:custGeom>
            <a:avLst/>
            <a:gdLst>
              <a:gd name="connsiteX0" fmla="*/ 0 w 251447"/>
              <a:gd name="connsiteY0" fmla="*/ 92472 h 184944"/>
              <a:gd name="connsiteX1" fmla="*/ 157624 w 251447"/>
              <a:gd name="connsiteY1" fmla="*/ 184945 h 184944"/>
              <a:gd name="connsiteX2" fmla="*/ 251448 w 251447"/>
              <a:gd name="connsiteY2" fmla="*/ 184945 h 184944"/>
              <a:gd name="connsiteX3" fmla="*/ 93824 w 251447"/>
              <a:gd name="connsiteY3" fmla="*/ 92472 h 184944"/>
              <a:gd name="connsiteX4" fmla="*/ 251448 w 251447"/>
              <a:gd name="connsiteY4" fmla="*/ 0 h 184944"/>
              <a:gd name="connsiteX5" fmla="*/ 157624 w 251447"/>
              <a:gd name="connsiteY5" fmla="*/ 0 h 184944"/>
              <a:gd name="connsiteX6" fmla="*/ 0 w 251447"/>
              <a:gd name="connsiteY6" fmla="*/ 92472 h 18494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</a:cxnLst>
            <a:rect l="l" t="t" r="r" b="b"/>
            <a:pathLst>
              <a:path w="251447" h="184944">
                <a:moveTo>
                  <a:pt x="0" y="92472"/>
                </a:moveTo>
                <a:lnTo>
                  <a:pt x="157624" y="184945"/>
                </a:lnTo>
                <a:lnTo>
                  <a:pt x="251448" y="184945"/>
                </a:lnTo>
                <a:lnTo>
                  <a:pt x="93824" y="92472"/>
                </a:lnTo>
                <a:lnTo>
                  <a:pt x="251448" y="0"/>
                </a:lnTo>
                <a:lnTo>
                  <a:pt x="157624" y="0"/>
                </a:lnTo>
                <a:lnTo>
                  <a:pt x="0" y="92472"/>
                </a:lnTo>
                <a:close/>
              </a:path>
            </a:pathLst>
          </a:custGeom>
          <a:solidFill>
            <a:srgbClr val="000000"/>
          </a:solidFill>
          <a:ln w="7342" cap="flat">
            <a:noFill/>
            <a:prstDash val="solid"/>
            <a:miter/>
          </a:ln>
        </xdr:spPr>
        <xdr:txBody>
          <a:bodyPr rtlCol="0" anchor="ctr"/>
          <a:lstStyle/>
          <a:p>
            <a:endParaRPr lang="pt-BR"/>
          </a:p>
        </xdr:txBody>
      </xdr:sp>
    </xdr:grpSp>
    <xdr:clientData/>
  </xdr:twoCellAnchor>
  <xdr:twoCellAnchor>
    <xdr:from>
      <xdr:col>2</xdr:col>
      <xdr:colOff>50619</xdr:colOff>
      <xdr:row>0</xdr:row>
      <xdr:rowOff>230220</xdr:rowOff>
    </xdr:from>
    <xdr:to>
      <xdr:col>3</xdr:col>
      <xdr:colOff>403697</xdr:colOff>
      <xdr:row>0</xdr:row>
      <xdr:rowOff>581498</xdr:rowOff>
    </xdr:to>
    <xdr:sp macro="" textlink="">
      <xdr:nvSpPr>
        <xdr:cNvPr id="22" name="Retângulo Arredondado 21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71B6C387-D6B7-C14C-8F14-2A528F0A155D}"/>
            </a:ext>
          </a:extLst>
        </xdr:cNvPr>
        <xdr:cNvSpPr/>
      </xdr:nvSpPr>
      <xdr:spPr>
        <a:xfrm>
          <a:off x="2751486" y="230220"/>
          <a:ext cx="1030411" cy="351278"/>
        </a:xfrm>
        <a:prstGeom prst="roundRect">
          <a:avLst/>
        </a:prstGeom>
        <a:solidFill>
          <a:srgbClr val="0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 b="1" i="0">
              <a:solidFill>
                <a:srgbClr val="9EF04E"/>
              </a:solidFill>
              <a:latin typeface="Segoe UI Semibold" panose="020B0502040204020203" pitchFamily="34" charset="0"/>
              <a:cs typeface="Segoe UI Semibold" panose="020B0502040204020203" pitchFamily="34" charset="0"/>
            </a:rPr>
            <a:t>Product</a:t>
          </a:r>
        </a:p>
      </xdr:txBody>
    </xdr:sp>
    <xdr:clientData fLocksWithSheet="0"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0.877858564818" missingItemsLimit="0" createdVersion="8" refreshedVersion="8" minRefreshableVersion="3" recordCount="296" xr:uid="{95352BD7-B071-354D-978A-6CEF9E643381}">
  <cacheSource type="worksheet">
    <worksheetSource name="tbl_xbox"/>
  </cacheSource>
  <cacheFields count="21">
    <cacheField name="Subscriber ID" numFmtId="0">
      <sharedItems containsSemiMixedTypes="0" containsString="0" containsNumber="1" containsInteger="1" minValue="3231" maxValue="3526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8T00:00:00" count="295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</sharedItems>
      <fieldGroup base="3">
        <rangePr groupBy="months" startDate="2024-01-01T00:00:00" endDate="2024-12-18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8/12/2024"/>
        </groupItems>
      </fieldGroup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0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SemiMixedTypes="0" containsString="0" containsNumber="1" containsInteger="1" minValue="-20" maxValue="30"/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minValue="-6.6666666666666599" maxValue="20"/>
    </cacheField>
    <cacheField name="Coupon Value" numFmtId="44">
      <sharedItems containsSemiMixedTypes="0" containsString="0" containsNumber="1" minValue="0" maxValue="20"/>
    </cacheField>
    <cacheField name="Total Value" numFmtId="44">
      <sharedItems containsSemiMixedTypes="0" containsString="0" containsNumber="1" containsInteger="1" minValue="-31" maxValue="62"/>
    </cacheField>
    <cacheField name="Coupon Value 2" numFmtId="44">
      <sharedItems count="2">
        <s v="Yes"/>
        <s v="No"/>
      </sharedItems>
    </cacheField>
    <cacheField name=" Season Pass" numFmtId="44">
      <sharedItems/>
    </cacheField>
    <cacheField name="Gross revenue" numFmtId="44">
      <sharedItems containsSemiMixedTypes="0" containsString="0" containsNumber="1" minValue="-26.666666666666661" maxValue="65"/>
    </cacheField>
    <cacheField name="Plan2" numFmtId="1">
      <sharedItems containsSemiMixedTypes="0" containsString="0" containsNumber="1" containsInteger="1" minValue="0" maxValue="2"/>
    </cacheField>
    <cacheField name="EA Play Season Pass2" numFmtId="1">
      <sharedItems containsSemiMixedTypes="0" containsString="0" containsNumber="1" containsInteger="1" minValue="0" maxValue="3"/>
    </cacheField>
    <cacheField name="Minecraft Season Pass2" numFmtId="1">
      <sharedItems containsSemiMixedTypes="0" containsString="0" containsNumber="1" containsInteger="1" minValue="0" maxValue="6"/>
    </cacheField>
    <cacheField name="soma" numFmtId="0">
      <sharedItems containsSemiMixedTypes="0" containsString="0" containsNumber="1" containsInteger="1" minValue="0" maxValue="11"/>
    </cacheField>
    <cacheField name="Pack" numFmtId="44">
      <sharedItems count="3">
        <s v="EA Play + Minecraft"/>
        <s v="No Extras"/>
        <s v="Minecraft"/>
      </sharedItems>
    </cacheField>
  </cacheFields>
  <extLst>
    <ext xmlns:x14="http://schemas.microsoft.com/office/spreadsheetml/2009/9/main" uri="{725AE2AE-9491-48be-B2B4-4EB974FC3084}">
      <x14:pivotCacheDefinition pivotCacheId="205500356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">
  <r>
    <n v="3231"/>
    <s v="João Silva"/>
    <x v="0"/>
    <x v="0"/>
    <x v="0"/>
    <n v="15"/>
    <x v="0"/>
    <x v="0"/>
    <n v="30"/>
    <x v="0"/>
    <n v="20"/>
    <n v="5"/>
    <n v="60"/>
    <x v="0"/>
    <s v="Yes"/>
    <n v="65"/>
    <n v="2"/>
    <n v="3"/>
    <n v="6"/>
    <n v="11"/>
    <x v="0"/>
  </r>
  <r>
    <n v="3232"/>
    <s v="Maria Oliveira"/>
    <x v="1"/>
    <x v="1"/>
    <x v="1"/>
    <n v="5"/>
    <x v="1"/>
    <x v="1"/>
    <n v="0"/>
    <x v="1"/>
    <n v="0"/>
    <n v="0"/>
    <n v="5"/>
    <x v="1"/>
    <s v="No"/>
    <n v="5"/>
    <n v="0"/>
    <n v="0"/>
    <n v="0"/>
    <n v="0"/>
    <x v="1"/>
  </r>
  <r>
    <n v="3233"/>
    <s v="Lucas Fernandes"/>
    <x v="2"/>
    <x v="2"/>
    <x v="0"/>
    <n v="10"/>
    <x v="2"/>
    <x v="1"/>
    <n v="0"/>
    <x v="0"/>
    <n v="20"/>
    <n v="10"/>
    <n v="20"/>
    <x v="0"/>
    <s v="Yes"/>
    <n v="30"/>
    <n v="1"/>
    <n v="0"/>
    <n v="6"/>
    <n v="7"/>
    <x v="2"/>
  </r>
  <r>
    <n v="3234"/>
    <s v="Ana Souza"/>
    <x v="0"/>
    <x v="3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235"/>
    <s v="Pedro Gonçalves"/>
    <x v="1"/>
    <x v="4"/>
    <x v="0"/>
    <n v="5"/>
    <x v="0"/>
    <x v="1"/>
    <n v="0"/>
    <x v="1"/>
    <n v="0"/>
    <n v="1"/>
    <n v="4"/>
    <x v="0"/>
    <s v="No"/>
    <n v="5"/>
    <n v="0"/>
    <n v="0"/>
    <n v="0"/>
    <n v="0"/>
    <x v="1"/>
  </r>
  <r>
    <n v="3236"/>
    <s v="Felipe Costa"/>
    <x v="2"/>
    <x v="5"/>
    <x v="1"/>
    <n v="10"/>
    <x v="0"/>
    <x v="1"/>
    <n v="0"/>
    <x v="0"/>
    <n v="20"/>
    <n v="2"/>
    <n v="28"/>
    <x v="0"/>
    <s v="Yes"/>
    <n v="30"/>
    <n v="1"/>
    <n v="0"/>
    <n v="6"/>
    <n v="7"/>
    <x v="2"/>
  </r>
  <r>
    <n v="3237"/>
    <s v="Camila Ribeiro"/>
    <x v="0"/>
    <x v="6"/>
    <x v="0"/>
    <n v="15"/>
    <x v="2"/>
    <x v="0"/>
    <n v="30"/>
    <x v="0"/>
    <n v="20"/>
    <n v="10"/>
    <n v="55"/>
    <x v="0"/>
    <s v="Yes"/>
    <n v="65"/>
    <n v="2"/>
    <n v="3"/>
    <n v="6"/>
    <n v="11"/>
    <x v="0"/>
  </r>
  <r>
    <n v="3238"/>
    <s v="André Mendes"/>
    <x v="1"/>
    <x v="7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239"/>
    <s v="Sofia Almeida"/>
    <x v="0"/>
    <x v="4"/>
    <x v="1"/>
    <n v="15"/>
    <x v="0"/>
    <x v="0"/>
    <n v="30"/>
    <x v="0"/>
    <n v="20"/>
    <n v="5"/>
    <n v="60"/>
    <x v="0"/>
    <s v="Yes"/>
    <n v="65"/>
    <n v="2"/>
    <n v="3"/>
    <n v="6"/>
    <n v="11"/>
    <x v="0"/>
  </r>
  <r>
    <n v="3240"/>
    <s v="Bruno Martins"/>
    <x v="2"/>
    <x v="8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241"/>
    <s v="Rita Castro"/>
    <x v="1"/>
    <x v="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42"/>
    <s v="Marco Túlio"/>
    <x v="0"/>
    <x v="10"/>
    <x v="0"/>
    <n v="15"/>
    <x v="1"/>
    <x v="0"/>
    <n v="30"/>
    <x v="0"/>
    <n v="20"/>
    <n v="20"/>
    <n v="45"/>
    <x v="0"/>
    <s v="Yes"/>
    <n v="65"/>
    <n v="2"/>
    <n v="3"/>
    <n v="6"/>
    <n v="11"/>
    <x v="0"/>
  </r>
  <r>
    <n v="3243"/>
    <s v="Lívia Silveira"/>
    <x v="2"/>
    <x v="1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44"/>
    <s v="Diogo Sousa"/>
    <x v="1"/>
    <x v="12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245"/>
    <s v="Fernanda Lima"/>
    <x v="0"/>
    <x v="13"/>
    <x v="1"/>
    <n v="15"/>
    <x v="0"/>
    <x v="0"/>
    <n v="30"/>
    <x v="0"/>
    <n v="20"/>
    <n v="8"/>
    <n v="57"/>
    <x v="0"/>
    <s v="Yes"/>
    <n v="65"/>
    <n v="2"/>
    <n v="3"/>
    <n v="6"/>
    <n v="11"/>
    <x v="0"/>
  </r>
  <r>
    <n v="3246"/>
    <s v="Caio Pereira"/>
    <x v="2"/>
    <x v="14"/>
    <x v="0"/>
    <n v="10"/>
    <x v="1"/>
    <x v="1"/>
    <n v="0"/>
    <x v="0"/>
    <n v="20"/>
    <n v="12"/>
    <n v="18"/>
    <x v="0"/>
    <s v="Yes"/>
    <n v="30"/>
    <n v="1"/>
    <n v="0"/>
    <n v="6"/>
    <n v="7"/>
    <x v="2"/>
  </r>
  <r>
    <n v="3247"/>
    <s v="Beatriz Gomes"/>
    <x v="1"/>
    <x v="15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248"/>
    <s v="Cesar Oliveira"/>
    <x v="0"/>
    <x v="16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249"/>
    <s v="Débora Machado"/>
    <x v="2"/>
    <x v="17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250"/>
    <s v="Eduardo Vargas"/>
    <x v="1"/>
    <x v="18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251"/>
    <s v="Gabriela Santos"/>
    <x v="0"/>
    <x v="19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252"/>
    <s v="Henrique Dias"/>
    <x v="2"/>
    <x v="20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253"/>
    <s v="Isabela Moreira"/>
    <x v="1"/>
    <x v="2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54"/>
    <s v="Joaquim Barbosa"/>
    <x v="0"/>
    <x v="22"/>
    <x v="0"/>
    <n v="15"/>
    <x v="1"/>
    <x v="0"/>
    <n v="30"/>
    <x v="0"/>
    <n v="20"/>
    <n v="20"/>
    <n v="45"/>
    <x v="0"/>
    <s v="Yes"/>
    <n v="65"/>
    <n v="2"/>
    <n v="3"/>
    <n v="6"/>
    <n v="11"/>
    <x v="0"/>
  </r>
  <r>
    <n v="3255"/>
    <s v="Lara Rocha"/>
    <x v="2"/>
    <x v="2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56"/>
    <s v="Matheus Silva"/>
    <x v="1"/>
    <x v="24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257"/>
    <s v="Nicole Costa"/>
    <x v="0"/>
    <x v="25"/>
    <x v="1"/>
    <n v="15"/>
    <x v="0"/>
    <x v="0"/>
    <n v="30"/>
    <x v="0"/>
    <n v="20"/>
    <n v="5"/>
    <n v="60"/>
    <x v="0"/>
    <s v="Yes"/>
    <n v="65"/>
    <n v="2"/>
    <n v="3"/>
    <n v="6"/>
    <n v="11"/>
    <x v="0"/>
  </r>
  <r>
    <n v="3258"/>
    <s v="Otávio Mendonça"/>
    <x v="2"/>
    <x v="26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259"/>
    <s v="Paula Ferreira"/>
    <x v="1"/>
    <x v="27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60"/>
    <s v="Raquel Alves"/>
    <x v="0"/>
    <x v="28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261"/>
    <s v="Samuel Pires"/>
    <x v="2"/>
    <x v="29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62"/>
    <s v="Tânia Barros"/>
    <x v="1"/>
    <x v="3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263"/>
    <s v="Vinicius Lima"/>
    <x v="0"/>
    <x v="31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264"/>
    <s v="Yasmin Teixeira"/>
    <x v="2"/>
    <x v="32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265"/>
    <s v="Zé Carlos"/>
    <x v="1"/>
    <x v="33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66"/>
    <s v="Amanda Nogueira"/>
    <x v="1"/>
    <x v="3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267"/>
    <s v="Bruno Cavalheiro"/>
    <x v="0"/>
    <x v="3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268"/>
    <s v="Carla Dias"/>
    <x v="2"/>
    <x v="3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269"/>
    <s v="Diego Fontes"/>
    <x v="1"/>
    <x v="3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270"/>
    <s v="Eunice Lima"/>
    <x v="0"/>
    <x v="3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271"/>
    <s v="Fábio Martins"/>
    <x v="2"/>
    <x v="3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272"/>
    <s v="Gisele Araújo"/>
    <x v="1"/>
    <x v="4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273"/>
    <s v="Hélio Castro"/>
    <x v="0"/>
    <x v="4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274"/>
    <s v="Ingrid Menezes"/>
    <x v="2"/>
    <x v="4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275"/>
    <s v="Jorge Baptista"/>
    <x v="1"/>
    <x v="4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276"/>
    <s v="Kléber Oliveira"/>
    <x v="0"/>
    <x v="4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277"/>
    <s v="Luciana Freitas"/>
    <x v="2"/>
    <x v="4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78"/>
    <s v="Márcia Eller"/>
    <x v="1"/>
    <x v="4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279"/>
    <s v="Nilo Peçanha"/>
    <x v="0"/>
    <x v="4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280"/>
    <s v="Oscar Neves"/>
    <x v="2"/>
    <x v="4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281"/>
    <s v="Patrícia Soares"/>
    <x v="1"/>
    <x v="4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82"/>
    <s v="Quirino Gonçalves"/>
    <x v="0"/>
    <x v="5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283"/>
    <s v="Raul Machado"/>
    <x v="2"/>
    <x v="5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84"/>
    <s v="Sônia Lobo"/>
    <x v="1"/>
    <x v="5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285"/>
    <s v="Tiago Ramos"/>
    <x v="0"/>
    <x v="5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286"/>
    <s v="Ugo Pires"/>
    <x v="2"/>
    <x v="5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287"/>
    <s v="Valéria Nobre"/>
    <x v="1"/>
    <x v="5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88"/>
    <s v="William Siqueira"/>
    <x v="0"/>
    <x v="5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289"/>
    <s v="Xuxa Meneghel"/>
    <x v="2"/>
    <x v="5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290"/>
    <s v="Yara Figueiredo"/>
    <x v="1"/>
    <x v="5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291"/>
    <s v="Zacarias Alves"/>
    <x v="0"/>
    <x v="59"/>
    <x v="1"/>
    <n v="15"/>
    <x v="0"/>
    <x v="0"/>
    <n v="30"/>
    <x v="0"/>
    <n v="20"/>
    <n v="5"/>
    <n v="60"/>
    <x v="0"/>
    <s v="Yes"/>
    <n v="65"/>
    <n v="2"/>
    <n v="3"/>
    <n v="6"/>
    <n v="11"/>
    <x v="0"/>
  </r>
  <r>
    <n v="3292"/>
    <s v="Amanda Bynes"/>
    <x v="2"/>
    <x v="6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293"/>
    <s v="Bruno Mars"/>
    <x v="1"/>
    <x v="6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294"/>
    <s v="Carla Bruni"/>
    <x v="0"/>
    <x v="62"/>
    <x v="0"/>
    <n v="15"/>
    <x v="2"/>
    <x v="0"/>
    <n v="30"/>
    <x v="0"/>
    <n v="20"/>
    <n v="20"/>
    <n v="45"/>
    <x v="0"/>
    <s v="Yes"/>
    <n v="65"/>
    <n v="2"/>
    <n v="3"/>
    <n v="6"/>
    <n v="11"/>
    <x v="0"/>
  </r>
  <r>
    <n v="3295"/>
    <s v="Diego Maradona"/>
    <x v="2"/>
    <x v="63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296"/>
    <s v="Estela Marques"/>
    <x v="1"/>
    <x v="64"/>
    <x v="1"/>
    <n v="5"/>
    <x v="0"/>
    <x v="1"/>
    <n v="0"/>
    <x v="1"/>
    <n v="0"/>
    <n v="0"/>
    <n v="5"/>
    <x v="1"/>
    <s v="No"/>
    <n v="5"/>
    <n v="0"/>
    <n v="0"/>
    <n v="0"/>
    <n v="0"/>
    <x v="1"/>
  </r>
  <r>
    <n v="3297"/>
    <s v="Fábio Nobre"/>
    <x v="0"/>
    <x v="65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298"/>
    <s v="Gabriel Oliveira"/>
    <x v="2"/>
    <x v="66"/>
    <x v="1"/>
    <n v="10"/>
    <x v="1"/>
    <x v="1"/>
    <n v="0"/>
    <x v="0"/>
    <n v="20"/>
    <n v="10"/>
    <n v="20"/>
    <x v="0"/>
    <s v="Yes"/>
    <n v="30"/>
    <n v="1"/>
    <n v="0"/>
    <n v="6"/>
    <n v="7"/>
    <x v="2"/>
  </r>
  <r>
    <n v="3299"/>
    <s v="Helena Santos"/>
    <x v="1"/>
    <x v="67"/>
    <x v="0"/>
    <n v="5"/>
    <x v="2"/>
    <x v="1"/>
    <n v="0"/>
    <x v="1"/>
    <n v="0"/>
    <n v="1"/>
    <n v="4"/>
    <x v="0"/>
    <s v="No"/>
    <n v="5"/>
    <n v="0"/>
    <n v="0"/>
    <n v="0"/>
    <n v="0"/>
    <x v="1"/>
  </r>
  <r>
    <n v="3300"/>
    <s v="Ivan Carvalho"/>
    <x v="0"/>
    <x v="68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301"/>
    <s v="Júlia Ferreira"/>
    <x v="2"/>
    <x v="69"/>
    <x v="0"/>
    <n v="10"/>
    <x v="0"/>
    <x v="1"/>
    <n v="0"/>
    <x v="0"/>
    <n v="20"/>
    <n v="5"/>
    <n v="25"/>
    <x v="0"/>
    <s v="Yes"/>
    <n v="30"/>
    <n v="1"/>
    <n v="0"/>
    <n v="6"/>
    <n v="7"/>
    <x v="2"/>
  </r>
  <r>
    <n v="3302"/>
    <s v="Karla Alves"/>
    <x v="1"/>
    <x v="70"/>
    <x v="1"/>
    <n v="5"/>
    <x v="1"/>
    <x v="1"/>
    <n v="0"/>
    <x v="1"/>
    <n v="0"/>
    <n v="0"/>
    <n v="5"/>
    <x v="1"/>
    <s v="No"/>
    <n v="5"/>
    <n v="0"/>
    <n v="0"/>
    <n v="0"/>
    <n v="0"/>
    <x v="1"/>
  </r>
  <r>
    <n v="3303"/>
    <s v="Lucas Mendes"/>
    <x v="0"/>
    <x v="71"/>
    <x v="0"/>
    <n v="15"/>
    <x v="2"/>
    <x v="0"/>
    <n v="30"/>
    <x v="0"/>
    <n v="20"/>
    <n v="20"/>
    <n v="45"/>
    <x v="0"/>
    <s v="Yes"/>
    <n v="65"/>
    <n v="2"/>
    <n v="3"/>
    <n v="6"/>
    <n v="11"/>
    <x v="0"/>
  </r>
  <r>
    <n v="3304"/>
    <s v="Mônica Gomes"/>
    <x v="2"/>
    <x v="72"/>
    <x v="1"/>
    <n v="10"/>
    <x v="2"/>
    <x v="1"/>
    <n v="0"/>
    <x v="0"/>
    <n v="20"/>
    <n v="12"/>
    <n v="18"/>
    <x v="0"/>
    <s v="Yes"/>
    <n v="30"/>
    <n v="1"/>
    <n v="0"/>
    <n v="6"/>
    <n v="7"/>
    <x v="2"/>
  </r>
  <r>
    <n v="3305"/>
    <s v="Norberto Queiroz"/>
    <x v="1"/>
    <x v="73"/>
    <x v="0"/>
    <n v="5"/>
    <x v="0"/>
    <x v="1"/>
    <n v="0"/>
    <x v="1"/>
    <n v="0"/>
    <n v="2"/>
    <n v="3"/>
    <x v="0"/>
    <s v="No"/>
    <n v="5"/>
    <n v="0"/>
    <n v="0"/>
    <n v="0"/>
    <n v="0"/>
    <x v="1"/>
  </r>
  <r>
    <n v="3306"/>
    <s v="Otávio Barros"/>
    <x v="0"/>
    <x v="74"/>
    <x v="1"/>
    <n v="15"/>
    <x v="1"/>
    <x v="0"/>
    <n v="30"/>
    <x v="0"/>
    <n v="20"/>
    <n v="5"/>
    <n v="60"/>
    <x v="0"/>
    <s v="Yes"/>
    <n v="65"/>
    <n v="2"/>
    <n v="3"/>
    <n v="6"/>
    <n v="11"/>
    <x v="0"/>
  </r>
  <r>
    <n v="3307"/>
    <s v="Paula Vieira"/>
    <x v="2"/>
    <x v="75"/>
    <x v="0"/>
    <n v="10"/>
    <x v="0"/>
    <x v="1"/>
    <n v="0"/>
    <x v="0"/>
    <n v="20"/>
    <n v="10"/>
    <n v="20"/>
    <x v="0"/>
    <s v="Yes"/>
    <n v="30"/>
    <n v="1"/>
    <n v="0"/>
    <n v="6"/>
    <n v="7"/>
    <x v="2"/>
  </r>
  <r>
    <n v="3308"/>
    <s v="Quentin Ramos"/>
    <x v="1"/>
    <x v="76"/>
    <x v="1"/>
    <n v="5"/>
    <x v="2"/>
    <x v="1"/>
    <n v="0"/>
    <x v="1"/>
    <n v="0"/>
    <n v="0"/>
    <n v="5"/>
    <x v="1"/>
    <s v="No"/>
    <n v="5"/>
    <n v="0"/>
    <n v="0"/>
    <n v="0"/>
    <n v="0"/>
    <x v="1"/>
  </r>
  <r>
    <n v="3309"/>
    <s v="Raquel Novaes"/>
    <x v="0"/>
    <x v="77"/>
    <x v="0"/>
    <n v="15"/>
    <x v="0"/>
    <x v="0"/>
    <n v="30"/>
    <x v="0"/>
    <n v="20"/>
    <n v="3"/>
    <n v="62"/>
    <x v="0"/>
    <s v="Yes"/>
    <n v="65"/>
    <n v="2"/>
    <n v="3"/>
    <n v="6"/>
    <n v="11"/>
    <x v="0"/>
  </r>
  <r>
    <n v="3310"/>
    <s v="Samantha Lopes"/>
    <x v="2"/>
    <x v="78"/>
    <x v="1"/>
    <n v="10"/>
    <x v="1"/>
    <x v="1"/>
    <n v="0"/>
    <x v="0"/>
    <n v="20"/>
    <n v="15"/>
    <n v="15"/>
    <x v="0"/>
    <s v="Yes"/>
    <n v="30"/>
    <n v="1"/>
    <n v="0"/>
    <n v="6"/>
    <n v="7"/>
    <x v="2"/>
  </r>
  <r>
    <n v="3311"/>
    <s v="Tiago Martins"/>
    <x v="1"/>
    <x v="79"/>
    <x v="0"/>
    <n v="5"/>
    <x v="0"/>
    <x v="1"/>
    <n v="0"/>
    <x v="1"/>
    <n v="0"/>
    <n v="1"/>
    <n v="4"/>
    <x v="0"/>
    <s v="No"/>
    <n v="5"/>
    <n v="0"/>
    <n v="0"/>
    <n v="0"/>
    <n v="0"/>
    <x v="1"/>
  </r>
  <r>
    <n v="3312"/>
    <s v="Ulysses Guimarães"/>
    <x v="0"/>
    <x v="80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313"/>
    <s v="Vanessa Silva"/>
    <x v="2"/>
    <x v="81"/>
    <x v="0"/>
    <n v="10"/>
    <x v="0"/>
    <x v="1"/>
    <n v="0"/>
    <x v="0"/>
    <n v="20"/>
    <n v="10"/>
    <n v="20"/>
    <x v="0"/>
    <s v="Yes"/>
    <n v="30"/>
    <n v="1"/>
    <n v="0"/>
    <n v="6"/>
    <n v="7"/>
    <x v="2"/>
  </r>
  <r>
    <n v="3314"/>
    <s v="William Carneiro"/>
    <x v="1"/>
    <x v="82"/>
    <x v="1"/>
    <n v="5"/>
    <x v="1"/>
    <x v="1"/>
    <n v="0"/>
    <x v="1"/>
    <n v="0"/>
    <n v="0"/>
    <n v="5"/>
    <x v="1"/>
    <s v="No"/>
    <n v="5"/>
    <n v="0"/>
    <n v="0"/>
    <n v="0"/>
    <n v="0"/>
    <x v="1"/>
  </r>
  <r>
    <n v="3315"/>
    <s v="Ximena Rocha"/>
    <x v="0"/>
    <x v="83"/>
    <x v="0"/>
    <n v="15"/>
    <x v="0"/>
    <x v="0"/>
    <n v="30"/>
    <x v="0"/>
    <n v="20"/>
    <n v="20"/>
    <n v="45"/>
    <x v="0"/>
    <s v="Yes"/>
    <n v="65"/>
    <n v="2"/>
    <n v="3"/>
    <n v="6"/>
    <n v="11"/>
    <x v="0"/>
  </r>
  <r>
    <n v="3316"/>
    <s v="Yasmin Figueiredo"/>
    <x v="2"/>
    <x v="84"/>
    <x v="1"/>
    <n v="10"/>
    <x v="2"/>
    <x v="1"/>
    <n v="0"/>
    <x v="0"/>
    <n v="20"/>
    <n v="15"/>
    <n v="15"/>
    <x v="0"/>
    <s v="Yes"/>
    <n v="30"/>
    <n v="1"/>
    <n v="0"/>
    <n v="6"/>
    <n v="7"/>
    <x v="2"/>
  </r>
  <r>
    <n v="3317"/>
    <s v="Zara Cunha"/>
    <x v="1"/>
    <x v="85"/>
    <x v="0"/>
    <n v="5"/>
    <x v="0"/>
    <x v="1"/>
    <n v="0"/>
    <x v="1"/>
    <n v="0"/>
    <n v="1"/>
    <n v="4"/>
    <x v="0"/>
    <s v="No"/>
    <n v="5"/>
    <n v="0"/>
    <n v="0"/>
    <n v="0"/>
    <n v="0"/>
    <x v="1"/>
  </r>
  <r>
    <n v="3318"/>
    <s v="Alan Teixeira"/>
    <x v="0"/>
    <x v="86"/>
    <x v="1"/>
    <n v="15"/>
    <x v="1"/>
    <x v="0"/>
    <n v="30"/>
    <x v="0"/>
    <n v="20"/>
    <n v="3"/>
    <n v="62"/>
    <x v="0"/>
    <s v="Yes"/>
    <n v="65"/>
    <n v="2"/>
    <n v="3"/>
    <n v="6"/>
    <n v="11"/>
    <x v="0"/>
  </r>
  <r>
    <n v="3319"/>
    <s v="Bárbara Oliveira"/>
    <x v="2"/>
    <x v="87"/>
    <x v="0"/>
    <n v="10"/>
    <x v="0"/>
    <x v="1"/>
    <n v="0"/>
    <x v="0"/>
    <n v="20"/>
    <n v="10"/>
    <n v="20"/>
    <x v="0"/>
    <s v="Yes"/>
    <n v="30"/>
    <n v="1"/>
    <n v="0"/>
    <n v="6"/>
    <n v="7"/>
    <x v="2"/>
  </r>
  <r>
    <n v="3320"/>
    <s v="Carlos Junqueira"/>
    <x v="1"/>
    <x v="88"/>
    <x v="1"/>
    <n v="5"/>
    <x v="2"/>
    <x v="1"/>
    <n v="0"/>
    <x v="1"/>
    <n v="0"/>
    <n v="0"/>
    <n v="5"/>
    <x v="1"/>
    <s v="No"/>
    <n v="5"/>
    <n v="0"/>
    <n v="0"/>
    <n v="0"/>
    <n v="0"/>
    <x v="1"/>
  </r>
  <r>
    <n v="3321"/>
    <s v="Daniela Moura"/>
    <x v="0"/>
    <x v="89"/>
    <x v="0"/>
    <n v="15"/>
    <x v="0"/>
    <x v="0"/>
    <n v="30"/>
    <x v="0"/>
    <n v="20"/>
    <n v="5"/>
    <n v="60"/>
    <x v="0"/>
    <s v="Yes"/>
    <n v="65"/>
    <n v="2"/>
    <n v="3"/>
    <n v="6"/>
    <n v="11"/>
    <x v="0"/>
  </r>
  <r>
    <n v="3322"/>
    <s v="Eduardo Lima"/>
    <x v="2"/>
    <x v="90"/>
    <x v="1"/>
    <n v="10"/>
    <x v="1"/>
    <x v="1"/>
    <n v="0"/>
    <x v="0"/>
    <n v="20"/>
    <n v="15"/>
    <n v="15"/>
    <x v="0"/>
    <s v="Yes"/>
    <n v="30"/>
    <n v="1"/>
    <n v="0"/>
    <n v="6"/>
    <n v="7"/>
    <x v="2"/>
  </r>
  <r>
    <n v="3323"/>
    <s v="Fabiana Araújo"/>
    <x v="1"/>
    <x v="91"/>
    <x v="0"/>
    <n v="5"/>
    <x v="0"/>
    <x v="1"/>
    <n v="0"/>
    <x v="1"/>
    <n v="0"/>
    <n v="1"/>
    <n v="4"/>
    <x v="0"/>
    <s v="No"/>
    <n v="5"/>
    <n v="0"/>
    <n v="0"/>
    <n v="0"/>
    <n v="0"/>
    <x v="1"/>
  </r>
  <r>
    <n v="3324"/>
    <s v="Geraldo Ribeiro"/>
    <x v="0"/>
    <x v="92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325"/>
    <s v="Héctor Vargas"/>
    <x v="2"/>
    <x v="93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326"/>
    <s v="Isabela Fonseca"/>
    <x v="1"/>
    <x v="94"/>
    <x v="1"/>
    <n v="5"/>
    <x v="1"/>
    <x v="1"/>
    <n v="0"/>
    <x v="1"/>
    <n v="0"/>
    <n v="0"/>
    <n v="5"/>
    <x v="1"/>
    <s v="No"/>
    <n v="5"/>
    <n v="0"/>
    <n v="0"/>
    <n v="0"/>
    <n v="0"/>
    <x v="1"/>
  </r>
  <r>
    <n v="3327"/>
    <s v="João Pedro Almeida"/>
    <x v="0"/>
    <x v="95"/>
    <x v="0"/>
    <n v="15"/>
    <x v="0"/>
    <x v="0"/>
    <n v="30"/>
    <x v="0"/>
    <n v="20"/>
    <n v="7"/>
    <n v="58"/>
    <x v="0"/>
    <s v="Yes"/>
    <n v="65"/>
    <n v="2"/>
    <n v="3"/>
    <n v="6"/>
    <n v="11"/>
    <x v="0"/>
  </r>
  <r>
    <n v="3328"/>
    <s v="Klara Costa"/>
    <x v="2"/>
    <x v="96"/>
    <x v="1"/>
    <n v="10"/>
    <x v="1"/>
    <x v="1"/>
    <n v="0"/>
    <x v="0"/>
    <n v="20"/>
    <n v="10"/>
    <n v="20"/>
    <x v="0"/>
    <s v="Yes"/>
    <n v="30"/>
    <n v="1"/>
    <n v="0"/>
    <n v="6"/>
    <n v="7"/>
    <x v="2"/>
  </r>
  <r>
    <n v="3329"/>
    <s v="Luciana Mendes"/>
    <x v="1"/>
    <x v="97"/>
    <x v="0"/>
    <n v="5"/>
    <x v="2"/>
    <x v="1"/>
    <n v="0"/>
    <x v="1"/>
    <n v="0"/>
    <n v="1"/>
    <n v="4"/>
    <x v="0"/>
    <s v="No"/>
    <n v="5"/>
    <n v="0"/>
    <n v="0"/>
    <n v="0"/>
    <n v="0"/>
    <x v="1"/>
  </r>
  <r>
    <n v="3330"/>
    <s v="Marcelo Gouveia"/>
    <x v="0"/>
    <x v="98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331"/>
    <s v="Nívea Borges"/>
    <x v="2"/>
    <x v="99"/>
    <x v="0"/>
    <n v="10"/>
    <x v="0"/>
    <x v="1"/>
    <n v="0"/>
    <x v="0"/>
    <n v="20"/>
    <n v="5"/>
    <n v="25"/>
    <x v="0"/>
    <s v="Yes"/>
    <n v="30"/>
    <n v="1"/>
    <n v="0"/>
    <n v="6"/>
    <n v="7"/>
    <x v="2"/>
  </r>
  <r>
    <n v="3332"/>
    <s v="Oscar Nogueira"/>
    <x v="1"/>
    <x v="100"/>
    <x v="1"/>
    <n v="5"/>
    <x v="1"/>
    <x v="1"/>
    <n v="0"/>
    <x v="1"/>
    <n v="0"/>
    <n v="0"/>
    <n v="5"/>
    <x v="1"/>
    <s v="No"/>
    <n v="5"/>
    <n v="0"/>
    <n v="0"/>
    <n v="0"/>
    <n v="0"/>
    <x v="1"/>
  </r>
  <r>
    <n v="3333"/>
    <s v="Patrícia Alves"/>
    <x v="0"/>
    <x v="101"/>
    <x v="0"/>
    <n v="15"/>
    <x v="2"/>
    <x v="0"/>
    <n v="30"/>
    <x v="0"/>
    <n v="20"/>
    <n v="20"/>
    <n v="45"/>
    <x v="0"/>
    <s v="Yes"/>
    <n v="65"/>
    <n v="2"/>
    <n v="3"/>
    <n v="6"/>
    <n v="11"/>
    <x v="0"/>
  </r>
  <r>
    <n v="3334"/>
    <s v="Rafaela Silva"/>
    <x v="2"/>
    <x v="102"/>
    <x v="1"/>
    <n v="10"/>
    <x v="2"/>
    <x v="1"/>
    <n v="0"/>
    <x v="0"/>
    <n v="20"/>
    <n v="12"/>
    <n v="18"/>
    <x v="0"/>
    <s v="Yes"/>
    <n v="30"/>
    <n v="1"/>
    <n v="0"/>
    <n v="6"/>
    <n v="7"/>
    <x v="2"/>
  </r>
  <r>
    <n v="3335"/>
    <s v="Samantha Moraes"/>
    <x v="1"/>
    <x v="103"/>
    <x v="0"/>
    <n v="5"/>
    <x v="0"/>
    <x v="1"/>
    <n v="0"/>
    <x v="1"/>
    <n v="0"/>
    <n v="2"/>
    <n v="3"/>
    <x v="0"/>
    <s v="No"/>
    <n v="5"/>
    <n v="0"/>
    <n v="0"/>
    <n v="0"/>
    <n v="0"/>
    <x v="1"/>
  </r>
  <r>
    <n v="3336"/>
    <s v="Tatiana Rocha"/>
    <x v="1"/>
    <x v="10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337"/>
    <s v="Ulisses Tavares"/>
    <x v="0"/>
    <x v="10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338"/>
    <s v="Víctor Lemos"/>
    <x v="2"/>
    <x v="10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339"/>
    <s v="Wilma Barros"/>
    <x v="1"/>
    <x v="10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340"/>
    <s v="Xavier Nascimento"/>
    <x v="0"/>
    <x v="10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341"/>
    <s v="Yago Pereira"/>
    <x v="2"/>
    <x v="10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342"/>
    <s v="Zilda Ferreira"/>
    <x v="1"/>
    <x v="11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343"/>
    <s v="Amanda Lopes"/>
    <x v="0"/>
    <x v="11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344"/>
    <s v="Bruno Miranda"/>
    <x v="2"/>
    <x v="11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345"/>
    <s v="Célia Torres"/>
    <x v="1"/>
    <x v="11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346"/>
    <s v="Diogo Souza"/>
    <x v="0"/>
    <x v="11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347"/>
    <s v="Elisa Castro"/>
    <x v="2"/>
    <x v="11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48"/>
    <s v="Fátima Lima"/>
    <x v="1"/>
    <x v="11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349"/>
    <s v="Geraldo Ribeiro"/>
    <x v="0"/>
    <x v="11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350"/>
    <s v="Hélio Martins"/>
    <x v="2"/>
    <x v="11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351"/>
    <s v="Íris Santos"/>
    <x v="1"/>
    <x v="11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52"/>
    <s v="João Marcelo"/>
    <x v="0"/>
    <x v="12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353"/>
    <s v="Larissa Gomes"/>
    <x v="2"/>
    <x v="12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54"/>
    <s v="Márcio Silva"/>
    <x v="1"/>
    <x v="12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355"/>
    <s v="Nadia Costa"/>
    <x v="0"/>
    <x v="12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356"/>
    <s v="Oscar Almeida"/>
    <x v="2"/>
    <x v="12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357"/>
    <s v="Patricia Soares"/>
    <x v="1"/>
    <x v="12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58"/>
    <s v="Quênia Barros"/>
    <x v="0"/>
    <x v="12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359"/>
    <s v="Rafael Torres"/>
    <x v="2"/>
    <x v="12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60"/>
    <s v="Silvia Nascimento"/>
    <x v="1"/>
    <x v="12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361"/>
    <s v="Tiago Mendes"/>
    <x v="0"/>
    <x v="129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362"/>
    <s v="Ursula Silva"/>
    <x v="2"/>
    <x v="13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363"/>
    <s v="Vanessa Moraes"/>
    <x v="1"/>
    <x v="13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64"/>
    <s v="Waldir Junior"/>
    <x v="0"/>
    <x v="132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365"/>
    <s v="Xavier Lopes"/>
    <x v="2"/>
    <x v="13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66"/>
    <s v="Yolanda Freitas"/>
    <x v="1"/>
    <x v="13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367"/>
    <s v="Zacarias Nunes"/>
    <x v="0"/>
    <x v="13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368"/>
    <s v="Ana Clara Barreto"/>
    <x v="2"/>
    <x v="13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369"/>
    <s v="Bruno Henrique"/>
    <x v="1"/>
    <x v="13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370"/>
    <s v="Carlos Eduardo"/>
    <x v="0"/>
    <x v="13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371"/>
    <s v="Débora Lima"/>
    <x v="2"/>
    <x v="13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372"/>
    <s v="Elisa Neves"/>
    <x v="1"/>
    <x v="14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373"/>
    <s v="Fabiano Gomes"/>
    <x v="0"/>
    <x v="14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374"/>
    <s v="Gisele Oliveira"/>
    <x v="2"/>
    <x v="14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375"/>
    <s v="Héctor Silva"/>
    <x v="1"/>
    <x v="14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376"/>
    <s v="Igor Martins"/>
    <x v="0"/>
    <x v="14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377"/>
    <s v="Joana Figueiredo"/>
    <x v="2"/>
    <x v="14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78"/>
    <s v="Kleber Machado"/>
    <x v="1"/>
    <x v="14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379"/>
    <s v="Luciana Santos"/>
    <x v="0"/>
    <x v="14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380"/>
    <s v="Marcos Teixeira"/>
    <x v="2"/>
    <x v="14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381"/>
    <s v="Natalia Costa"/>
    <x v="1"/>
    <x v="14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82"/>
    <s v="Oscar Ribeiro"/>
    <x v="0"/>
    <x v="15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383"/>
    <s v="Patricia Almeida"/>
    <x v="2"/>
    <x v="15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84"/>
    <s v="Quirino Junior"/>
    <x v="1"/>
    <x v="15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385"/>
    <s v="Renata Machado"/>
    <x v="0"/>
    <x v="15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386"/>
    <s v="Sônia Alves"/>
    <x v="2"/>
    <x v="15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387"/>
    <s v="Tiago Nunes"/>
    <x v="1"/>
    <x v="15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88"/>
    <s v="Ulysses Pereira"/>
    <x v="0"/>
    <x v="15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389"/>
    <s v="Vanessa Lima"/>
    <x v="2"/>
    <x v="15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90"/>
    <s v="Wagner Santos"/>
    <x v="1"/>
    <x v="15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391"/>
    <s v="Xuxa Meneghel"/>
    <x v="0"/>
    <x v="159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392"/>
    <s v="Yasmin Silva"/>
    <x v="2"/>
    <x v="16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393"/>
    <s v="Zacarias de Souza"/>
    <x v="1"/>
    <x v="16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394"/>
    <s v="André Lima"/>
    <x v="0"/>
    <x v="162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395"/>
    <s v="Bianca Freitas"/>
    <x v="2"/>
    <x v="16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396"/>
    <s v="Caio Mendes"/>
    <x v="1"/>
    <x v="164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397"/>
    <s v="Daniela Moura"/>
    <x v="0"/>
    <x v="165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398"/>
    <s v="Eduardo Costa"/>
    <x v="2"/>
    <x v="166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399"/>
    <s v="Fernanda Gomes"/>
    <x v="1"/>
    <x v="167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00"/>
    <s v="Guilherme Souza"/>
    <x v="0"/>
    <x v="168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401"/>
    <s v="Helena Ribeiro"/>
    <x v="2"/>
    <x v="169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02"/>
    <s v="Igor Santos"/>
    <x v="1"/>
    <x v="170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03"/>
    <s v="João Carvalho"/>
    <x v="0"/>
    <x v="171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404"/>
    <s v="Klara Fagundes"/>
    <x v="2"/>
    <x v="172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05"/>
    <s v="Lúcia Mendonça"/>
    <x v="1"/>
    <x v="173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06"/>
    <s v="Marcelo Novaes"/>
    <x v="1"/>
    <x v="17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407"/>
    <s v="Nina Pacheco"/>
    <x v="0"/>
    <x v="17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408"/>
    <s v="Olívia Rios"/>
    <x v="2"/>
    <x v="17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409"/>
    <s v="Paulo Quintana"/>
    <x v="1"/>
    <x v="17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410"/>
    <s v="Raquel Domingos"/>
    <x v="0"/>
    <x v="17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411"/>
    <s v="Samuel Viana"/>
    <x v="2"/>
    <x v="17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412"/>
    <s v="Tatiane Rocha"/>
    <x v="1"/>
    <x v="18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13"/>
    <s v="Ulysses Farias"/>
    <x v="0"/>
    <x v="18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414"/>
    <s v="Vanessa Moreira"/>
    <x v="2"/>
    <x v="18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415"/>
    <s v="William Carvalho"/>
    <x v="1"/>
    <x v="18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416"/>
    <s v="Ximena Barros"/>
    <x v="0"/>
    <x v="18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417"/>
    <s v="Yara Machado"/>
    <x v="2"/>
    <x v="18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18"/>
    <s v="Zacarias Costa"/>
    <x v="1"/>
    <x v="18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19"/>
    <s v="André Lopes"/>
    <x v="0"/>
    <x v="18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420"/>
    <s v="Beatriz Souza"/>
    <x v="2"/>
    <x v="18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21"/>
    <s v="Caio Pereira"/>
    <x v="1"/>
    <x v="18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22"/>
    <s v="Daniela Araújo"/>
    <x v="0"/>
    <x v="19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423"/>
    <s v="Eduardo Santos"/>
    <x v="2"/>
    <x v="19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24"/>
    <s v="Fernanda Lima"/>
    <x v="1"/>
    <x v="19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25"/>
    <s v="Gabriel Teixeira"/>
    <x v="0"/>
    <x v="19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426"/>
    <s v="Helena Ribeiro"/>
    <x v="2"/>
    <x v="19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427"/>
    <s v="Igor Mendes"/>
    <x v="1"/>
    <x v="19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28"/>
    <s v="Joana Silveira"/>
    <x v="0"/>
    <x v="19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429"/>
    <s v="Lucas Martins"/>
    <x v="2"/>
    <x v="19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30"/>
    <s v="Marcela Gouveia"/>
    <x v="1"/>
    <x v="19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31"/>
    <s v="Nicolas Borges"/>
    <x v="0"/>
    <x v="199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432"/>
    <s v="Olivia Freitas"/>
    <x v="2"/>
    <x v="20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33"/>
    <s v="Paulo Nogueira"/>
    <x v="1"/>
    <x v="20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34"/>
    <s v="Raquel Andrade"/>
    <x v="0"/>
    <x v="202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435"/>
    <s v="Sônia Carvalho"/>
    <x v="2"/>
    <x v="20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36"/>
    <s v="Tiago Rodrigues"/>
    <x v="1"/>
    <x v="20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437"/>
    <s v="Ursula Monteiro"/>
    <x v="0"/>
    <x v="20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438"/>
    <s v="Vanessa Pereira"/>
    <x v="2"/>
    <x v="20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439"/>
    <s v="Walter Silva"/>
    <x v="1"/>
    <x v="20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440"/>
    <s v="Xavier Almeida"/>
    <x v="0"/>
    <x v="20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441"/>
    <s v="Yasmine Correia"/>
    <x v="2"/>
    <x v="20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442"/>
    <s v="Zacarias Almeida"/>
    <x v="1"/>
    <x v="21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43"/>
    <s v="Amanda Costa"/>
    <x v="0"/>
    <x v="21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444"/>
    <s v="Bruno Ferreira"/>
    <x v="2"/>
    <x v="21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445"/>
    <s v="Carla Dias"/>
    <x v="1"/>
    <x v="21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446"/>
    <s v="Diogo Martins"/>
    <x v="0"/>
    <x v="21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447"/>
    <s v="Elisa Campos"/>
    <x v="2"/>
    <x v="21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48"/>
    <s v="Fabiana Lima"/>
    <x v="1"/>
    <x v="21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49"/>
    <s v="Gabriel Santos"/>
    <x v="0"/>
    <x v="21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450"/>
    <s v="Helena Ferreira"/>
    <x v="2"/>
    <x v="21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51"/>
    <s v="Ígor Nunes"/>
    <x v="1"/>
    <x v="21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52"/>
    <s v="Joana Silveira"/>
    <x v="0"/>
    <x v="22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453"/>
    <s v="Kléber Oliveira"/>
    <x v="2"/>
    <x v="22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54"/>
    <s v="Luciana Morais"/>
    <x v="1"/>
    <x v="22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55"/>
    <s v="Marcos Vinícius"/>
    <x v="0"/>
    <x v="22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456"/>
    <s v="Natália Barros"/>
    <x v="2"/>
    <x v="22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457"/>
    <s v="Oscar Sampaio"/>
    <x v="1"/>
    <x v="22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58"/>
    <s v="Patrícia Leite"/>
    <x v="0"/>
    <x v="22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459"/>
    <s v="Quênia Rocha"/>
    <x v="2"/>
    <x v="22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60"/>
    <s v="Rafael Torres"/>
    <x v="1"/>
    <x v="22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61"/>
    <s v="Sandra Gouveia"/>
    <x v="0"/>
    <x v="229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462"/>
    <s v="Tiago Lacerda"/>
    <x v="2"/>
    <x v="23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63"/>
    <s v="Ursula Fonseca"/>
    <x v="1"/>
    <x v="23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64"/>
    <s v="Vanessa Andrade"/>
    <x v="0"/>
    <x v="232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465"/>
    <s v="William Castro"/>
    <x v="2"/>
    <x v="23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66"/>
    <s v="Xavier Monteiro"/>
    <x v="1"/>
    <x v="234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67"/>
    <s v="Yasmin Figueira"/>
    <x v="0"/>
    <x v="235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468"/>
    <s v="Zacarias Mendonça"/>
    <x v="2"/>
    <x v="236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469"/>
    <s v="Amanda Menezes"/>
    <x v="1"/>
    <x v="237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470"/>
    <s v="Bruno Santos"/>
    <x v="0"/>
    <x v="238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471"/>
    <s v="Carla Ferreira"/>
    <x v="2"/>
    <x v="239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72"/>
    <s v="Diogo Alves"/>
    <x v="1"/>
    <x v="240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73"/>
    <s v="Elisa Neves"/>
    <x v="0"/>
    <x v="241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474"/>
    <s v="Fabiano Pires"/>
    <x v="2"/>
    <x v="242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475"/>
    <s v="Giovana Ribeiro"/>
    <x v="1"/>
    <x v="243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76"/>
    <s v="Hélio Costa"/>
    <x v="0"/>
    <x v="244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477"/>
    <s v="Íris Loureiro"/>
    <x v="2"/>
    <x v="24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78"/>
    <s v="João Pereira"/>
    <x v="1"/>
    <x v="246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79"/>
    <s v="Klara Silva"/>
    <x v="0"/>
    <x v="247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480"/>
    <s v="Luciana Barros"/>
    <x v="2"/>
    <x v="248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481"/>
    <s v="Marcos Gomes"/>
    <x v="1"/>
    <x v="24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482"/>
    <s v="Natália Soares"/>
    <x v="0"/>
    <x v="250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483"/>
    <s v="Oscar Machado"/>
    <x v="2"/>
    <x v="25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84"/>
    <s v="Patrícia Lima"/>
    <x v="1"/>
    <x v="252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85"/>
    <s v="Quirino Neto"/>
    <x v="0"/>
    <x v="253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486"/>
    <s v="Rafaela Souza"/>
    <x v="1"/>
    <x v="254"/>
    <x v="0"/>
    <n v="5"/>
    <x v="0"/>
    <x v="1"/>
    <n v="0"/>
    <x v="1"/>
    <n v="0"/>
    <n v="0"/>
    <n v="5"/>
    <x v="1"/>
    <s v="No"/>
    <n v="5"/>
    <n v="0"/>
    <n v="0"/>
    <n v="0"/>
    <n v="0"/>
    <x v="1"/>
  </r>
  <r>
    <n v="3487"/>
    <s v="Sandro Almeida"/>
    <x v="0"/>
    <x v="255"/>
    <x v="1"/>
    <n v="15"/>
    <x v="2"/>
    <x v="0"/>
    <n v="30"/>
    <x v="0"/>
    <n v="20"/>
    <n v="7"/>
    <n v="58"/>
    <x v="0"/>
    <s v="Yes"/>
    <n v="65"/>
    <n v="2"/>
    <n v="3"/>
    <n v="6"/>
    <n v="11"/>
    <x v="0"/>
  </r>
  <r>
    <n v="3488"/>
    <s v="Tânia Ribeiro"/>
    <x v="2"/>
    <x v="256"/>
    <x v="0"/>
    <n v="10"/>
    <x v="1"/>
    <x v="1"/>
    <n v="0"/>
    <x v="0"/>
    <n v="20"/>
    <n v="10"/>
    <n v="20"/>
    <x v="0"/>
    <s v="Yes"/>
    <n v="30"/>
    <n v="1"/>
    <n v="0"/>
    <n v="6"/>
    <n v="7"/>
    <x v="2"/>
  </r>
  <r>
    <n v="3489"/>
    <s v="Ugo Dias"/>
    <x v="1"/>
    <x v="257"/>
    <x v="1"/>
    <n v="5"/>
    <x v="2"/>
    <x v="1"/>
    <n v="0"/>
    <x v="1"/>
    <n v="0"/>
    <n v="1"/>
    <n v="4"/>
    <x v="0"/>
    <s v="No"/>
    <n v="5"/>
    <n v="0"/>
    <n v="0"/>
    <n v="0"/>
    <n v="0"/>
    <x v="1"/>
  </r>
  <r>
    <n v="3490"/>
    <s v="Valéria Lima"/>
    <x v="0"/>
    <x v="258"/>
    <x v="0"/>
    <n v="15"/>
    <x v="0"/>
    <x v="0"/>
    <n v="30"/>
    <x v="0"/>
    <n v="20"/>
    <n v="15"/>
    <n v="50"/>
    <x v="0"/>
    <s v="Yes"/>
    <n v="65"/>
    <n v="2"/>
    <n v="3"/>
    <n v="6"/>
    <n v="11"/>
    <x v="0"/>
  </r>
  <r>
    <n v="3491"/>
    <s v="William Fernandes"/>
    <x v="2"/>
    <x v="259"/>
    <x v="1"/>
    <n v="10"/>
    <x v="0"/>
    <x v="1"/>
    <n v="0"/>
    <x v="0"/>
    <n v="20"/>
    <n v="5"/>
    <n v="25"/>
    <x v="0"/>
    <s v="Yes"/>
    <n v="30"/>
    <n v="1"/>
    <n v="0"/>
    <n v="6"/>
    <n v="7"/>
    <x v="2"/>
  </r>
  <r>
    <n v="3492"/>
    <s v="Xuxa Mendes"/>
    <x v="1"/>
    <x v="260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493"/>
    <s v="Ygor Farias"/>
    <x v="0"/>
    <x v="261"/>
    <x v="1"/>
    <n v="15"/>
    <x v="2"/>
    <x v="0"/>
    <n v="30"/>
    <x v="0"/>
    <n v="20"/>
    <n v="20"/>
    <n v="45"/>
    <x v="0"/>
    <s v="Yes"/>
    <n v="65"/>
    <n v="2"/>
    <n v="3"/>
    <n v="6"/>
    <n v="11"/>
    <x v="0"/>
  </r>
  <r>
    <n v="3494"/>
    <s v="Zilda Barros"/>
    <x v="2"/>
    <x v="262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495"/>
    <s v="Amanda Santos"/>
    <x v="1"/>
    <x v="263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496"/>
    <s v="Bruno Costa"/>
    <x v="0"/>
    <x v="264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497"/>
    <s v="Carla Rodrigues"/>
    <x v="2"/>
    <x v="265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498"/>
    <s v="Diogo Pereira"/>
    <x v="1"/>
    <x v="266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499"/>
    <s v="Elisa Correia"/>
    <x v="0"/>
    <x v="267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500"/>
    <s v="Fábio Lourenço"/>
    <x v="2"/>
    <x v="268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501"/>
    <s v="Gabriela Neves"/>
    <x v="1"/>
    <x v="269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502"/>
    <s v="Henrique Gonçalves"/>
    <x v="0"/>
    <x v="270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503"/>
    <s v="Íris Santos"/>
    <x v="2"/>
    <x v="271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504"/>
    <s v="João Marcelo Alves"/>
    <x v="1"/>
    <x v="272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505"/>
    <s v="Klara Fonseca"/>
    <x v="0"/>
    <x v="273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506"/>
    <s v="Lucas Mendonça"/>
    <x v="2"/>
    <x v="274"/>
    <x v="0"/>
    <n v="10"/>
    <x v="2"/>
    <x v="1"/>
    <n v="0"/>
    <x v="0"/>
    <n v="20"/>
    <n v="15"/>
    <n v="15"/>
    <x v="0"/>
    <s v="Yes"/>
    <n v="30"/>
    <n v="1"/>
    <n v="0"/>
    <n v="6"/>
    <n v="7"/>
    <x v="2"/>
  </r>
  <r>
    <n v="3507"/>
    <s v="Marcela Torres"/>
    <x v="1"/>
    <x v="275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508"/>
    <s v="Natália Castro"/>
    <x v="0"/>
    <x v="276"/>
    <x v="0"/>
    <n v="15"/>
    <x v="1"/>
    <x v="0"/>
    <n v="30"/>
    <x v="0"/>
    <n v="20"/>
    <n v="3"/>
    <n v="62"/>
    <x v="0"/>
    <s v="Yes"/>
    <n v="65"/>
    <n v="2"/>
    <n v="3"/>
    <n v="6"/>
    <n v="11"/>
    <x v="0"/>
  </r>
  <r>
    <n v="3509"/>
    <s v="Oscar Martins"/>
    <x v="2"/>
    <x v="277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510"/>
    <s v="Patrícia Oliveira"/>
    <x v="1"/>
    <x v="278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511"/>
    <s v="Quentin Nogueira"/>
    <x v="0"/>
    <x v="279"/>
    <x v="1"/>
    <n v="15"/>
    <x v="0"/>
    <x v="0"/>
    <n v="30"/>
    <x v="0"/>
    <n v="20"/>
    <n v="15"/>
    <n v="50"/>
    <x v="0"/>
    <s v="Yes"/>
    <n v="65"/>
    <n v="2"/>
    <n v="3"/>
    <n v="6"/>
    <n v="11"/>
    <x v="0"/>
  </r>
  <r>
    <n v="3512"/>
    <s v="Raquel Silva"/>
    <x v="2"/>
    <x v="280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513"/>
    <s v="Sandro Gomes"/>
    <x v="1"/>
    <x v="281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514"/>
    <s v="Tânia Machado"/>
    <x v="0"/>
    <x v="282"/>
    <x v="0"/>
    <n v="15"/>
    <x v="2"/>
    <x v="0"/>
    <n v="30"/>
    <x v="0"/>
    <n v="20"/>
    <n v="7"/>
    <n v="58"/>
    <x v="0"/>
    <s v="Yes"/>
    <n v="65"/>
    <n v="2"/>
    <n v="3"/>
    <n v="6"/>
    <n v="11"/>
    <x v="0"/>
  </r>
  <r>
    <n v="3515"/>
    <s v="Ursula Silva"/>
    <x v="2"/>
    <x v="283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516"/>
    <s v="Vanessa Moraes"/>
    <x v="1"/>
    <x v="284"/>
    <x v="0"/>
    <n v="5"/>
    <x v="1"/>
    <x v="1"/>
    <n v="0"/>
    <x v="1"/>
    <n v="0"/>
    <n v="0"/>
    <n v="5"/>
    <x v="1"/>
    <s v="No"/>
    <n v="5"/>
    <n v="0"/>
    <n v="0"/>
    <n v="0"/>
    <n v="0"/>
    <x v="1"/>
  </r>
  <r>
    <n v="3517"/>
    <s v="William Carvalho"/>
    <x v="0"/>
    <x v="285"/>
    <x v="1"/>
    <n v="15"/>
    <x v="0"/>
    <x v="0"/>
    <n v="30"/>
    <x v="0"/>
    <n v="20"/>
    <n v="20"/>
    <n v="45"/>
    <x v="0"/>
    <s v="Yes"/>
    <n v="65"/>
    <n v="2"/>
    <n v="3"/>
    <n v="6"/>
    <n v="11"/>
    <x v="0"/>
  </r>
  <r>
    <n v="3518"/>
    <s v="Xavier Reis"/>
    <x v="2"/>
    <x v="286"/>
    <x v="0"/>
    <n v="10"/>
    <x v="2"/>
    <x v="1"/>
    <n v="0"/>
    <x v="0"/>
    <n v="20"/>
    <n v="12"/>
    <n v="18"/>
    <x v="0"/>
    <s v="Yes"/>
    <n v="30"/>
    <n v="1"/>
    <n v="0"/>
    <n v="6"/>
    <n v="7"/>
    <x v="2"/>
  </r>
  <r>
    <n v="3519"/>
    <s v="Yasmin Rocha"/>
    <x v="1"/>
    <x v="287"/>
    <x v="1"/>
    <n v="5"/>
    <x v="0"/>
    <x v="1"/>
    <n v="0"/>
    <x v="1"/>
    <n v="0"/>
    <n v="2"/>
    <n v="3"/>
    <x v="0"/>
    <s v="No"/>
    <n v="5"/>
    <n v="0"/>
    <n v="0"/>
    <n v="0"/>
    <n v="0"/>
    <x v="1"/>
  </r>
  <r>
    <n v="3520"/>
    <s v="Zacarias Duarte"/>
    <x v="0"/>
    <x v="288"/>
    <x v="0"/>
    <n v="15"/>
    <x v="1"/>
    <x v="0"/>
    <n v="30"/>
    <x v="0"/>
    <n v="20"/>
    <n v="5"/>
    <n v="60"/>
    <x v="0"/>
    <s v="Yes"/>
    <n v="65"/>
    <n v="2"/>
    <n v="3"/>
    <n v="6"/>
    <n v="11"/>
    <x v="0"/>
  </r>
  <r>
    <n v="3521"/>
    <s v="Amanda Freitas"/>
    <x v="2"/>
    <x v="289"/>
    <x v="1"/>
    <n v="10"/>
    <x v="0"/>
    <x v="1"/>
    <n v="0"/>
    <x v="0"/>
    <n v="20"/>
    <n v="10"/>
    <n v="20"/>
    <x v="0"/>
    <s v="Yes"/>
    <n v="30"/>
    <n v="1"/>
    <n v="0"/>
    <n v="6"/>
    <n v="7"/>
    <x v="2"/>
  </r>
  <r>
    <n v="3522"/>
    <s v="Bruno Almeida"/>
    <x v="1"/>
    <x v="290"/>
    <x v="0"/>
    <n v="5"/>
    <x v="2"/>
    <x v="1"/>
    <n v="0"/>
    <x v="1"/>
    <n v="0"/>
    <n v="0"/>
    <n v="5"/>
    <x v="1"/>
    <s v="No"/>
    <n v="5"/>
    <n v="0"/>
    <n v="0"/>
    <n v="0"/>
    <n v="0"/>
    <x v="1"/>
  </r>
  <r>
    <n v="3523"/>
    <s v="Carla Siqueira"/>
    <x v="0"/>
    <x v="291"/>
    <x v="1"/>
    <n v="15"/>
    <x v="0"/>
    <x v="0"/>
    <n v="30"/>
    <x v="0"/>
    <n v="20"/>
    <n v="3"/>
    <n v="62"/>
    <x v="0"/>
    <s v="Yes"/>
    <n v="65"/>
    <n v="2"/>
    <n v="3"/>
    <n v="6"/>
    <n v="11"/>
    <x v="0"/>
  </r>
  <r>
    <n v="3524"/>
    <s v="Diogo Ramos"/>
    <x v="2"/>
    <x v="292"/>
    <x v="0"/>
    <n v="10"/>
    <x v="1"/>
    <x v="1"/>
    <n v="0"/>
    <x v="0"/>
    <n v="20"/>
    <n v="15"/>
    <n v="15"/>
    <x v="0"/>
    <s v="Yes"/>
    <n v="30"/>
    <n v="1"/>
    <n v="0"/>
    <n v="6"/>
    <n v="7"/>
    <x v="2"/>
  </r>
  <r>
    <n v="3525"/>
    <s v="Elisa Magalhães"/>
    <x v="1"/>
    <x v="293"/>
    <x v="1"/>
    <n v="5"/>
    <x v="0"/>
    <x v="1"/>
    <n v="0"/>
    <x v="1"/>
    <n v="0"/>
    <n v="1"/>
    <n v="4"/>
    <x v="0"/>
    <s v="No"/>
    <n v="5"/>
    <n v="0"/>
    <n v="0"/>
    <n v="0"/>
    <n v="0"/>
    <x v="1"/>
  </r>
  <r>
    <n v="3526"/>
    <s v="Carla Siqueira"/>
    <x v="0"/>
    <x v="294"/>
    <x v="1"/>
    <n v="0"/>
    <x v="0"/>
    <x v="0"/>
    <n v="-20"/>
    <x v="0"/>
    <n v="-6.6666666666666599"/>
    <n v="4.3333333333333401"/>
    <n v="-31"/>
    <x v="0"/>
    <s v="Yes"/>
    <n v="-26.666666666666661"/>
    <n v="2"/>
    <n v="3"/>
    <n v="6"/>
    <n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940745-ACF8-404B-95EA-2362FE736A9B}" name="tbl_users" cacheId="2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 rowHeaderCaption="EA Game" colHeaderCaption="Minecraft">
  <location ref="B40:E44" firstHeaderRow="1" firstDataRow="2" firstDataCol="1"/>
  <pivotFields count="21">
    <pivotField showAll="0"/>
    <pivotField showAll="0"/>
    <pivotField axis="axisCol" showAll="0">
      <items count="4">
        <item h="1"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numFmtId="44" showAll="0"/>
    <pivotField showAll="0"/>
    <pivotField numFmtId="44" showAll="0"/>
    <pivotField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2"/>
  </colFields>
  <colItems count="3">
    <i>
      <x v="1"/>
    </i>
    <i>
      <x v="2"/>
    </i>
    <i t="grand">
      <x/>
    </i>
  </colItems>
  <dataFields count="1">
    <dataField name="Contagem de Total Value" fld="1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371A33-78AD-1247-85FC-18B8005A79E0}" name="tbl_revenue" cacheId="20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">
  <location ref="J11:K20" firstHeaderRow="1" firstDataRow="1" firstDataCol="1"/>
  <pivotFields count="21">
    <pivotField showAll="0"/>
    <pivotField showAll="0"/>
    <pivotField showAll="0">
      <items count="4">
        <item h="1" x="1"/>
        <item x="2"/>
        <item x="0"/>
        <item t="default"/>
      </items>
    </pivotField>
    <pivotField axis="axisRow" numFmtId="165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3"/>
  </rowFields>
  <rowItems count="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Total Value" fld="1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40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8550B0-48E2-0246-BE64-E0B99F127DBF}" name="tbl_avarege_ticket" cacheId="20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J38:L40" firstHeaderRow="0" firstDataRow="1" firstDataCol="1"/>
  <pivotFields count="21">
    <pivotField showAll="0"/>
    <pivotField showAll="0"/>
    <pivotField axis="axisRow" dataField="1" showAll="0">
      <items count="4">
        <item h="1" x="1"/>
        <item x="2"/>
        <item x="0"/>
        <item t="default"/>
      </items>
    </pivotField>
    <pivotField numFmtId="14" showAll="0"/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numFmtId="44"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2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/>
    <dataField name="Contagem de Plan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E4750C-4408-7542-9AF1-EB9B73991BE8}" name="tbl_autorenewal" cacheId="207" dataOnRows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42">
  <location ref="J64:K67" firstHeaderRow="1" firstDataRow="1" firstDataCol="1" rowPageCount="2" colPageCount="1"/>
  <pivotFields count="21">
    <pivotField showAll="0"/>
    <pivotField showAll="0"/>
    <pivotField axis="axisPage" multipleItemSelectionAllowed="1" showAll="0">
      <items count="4">
        <item h="1"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hier="-1"/>
    <pageField fld="2" hier="-1"/>
  </pageFields>
  <dataFields count="1">
    <dataField name="Soma de Total Value" fld="12" baseField="0" baseItem="0" numFmtId="164"/>
  </dataFields>
  <formats count="4">
    <format dxfId="35">
      <pivotArea collapsedLevelsAreSubtotals="1" fieldPosition="0">
        <references count="1">
          <reference field="4" count="1">
            <x v="0"/>
          </reference>
        </references>
      </pivotArea>
    </format>
    <format dxfId="34">
      <pivotArea collapsedLevelsAreSubtotals="1" fieldPosition="0">
        <references count="1">
          <reference field="4" count="1">
            <x v="1"/>
          </reference>
        </references>
      </pivotArea>
    </format>
    <format dxfId="33">
      <pivotArea field="4" type="button" dataOnly="0" labelOnly="1" outline="0" axis="axisRow" fieldPosition="0"/>
    </format>
    <format dxfId="32">
      <pivotArea outline="0" fieldPosition="0">
        <references count="1">
          <reference field="4294967294" count="1">
            <x v="0"/>
          </reference>
        </references>
      </pivotArea>
    </format>
  </formats>
  <chartFormats count="19"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6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6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9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9" format="3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6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9D2922-FDE4-AA47-89AF-BFDD9F8589BF}" name="Tabela dinâmica1" cacheId="207" dataOnRows="1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8">
  <location ref="B14:C17" firstHeaderRow="1" firstDataRow="1" firstDataCol="1" rowPageCount="2" colPageCount="1"/>
  <pivotFields count="21">
    <pivotField showAll="0"/>
    <pivotField showAll="0"/>
    <pivotField axis="axisPage" multipleItemSelectionAllowed="1" showAll="0">
      <items count="4">
        <item h="1"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2">
    <pageField fld="6" hier="-1"/>
    <pageField fld="2" hier="-1"/>
  </pageFields>
  <dataFields count="1">
    <dataField name="Soma de Total Value" fld="12" baseField="0" baseItem="0" numFmtId="164"/>
  </dataFields>
  <formats count="4">
    <format dxfId="39">
      <pivotArea collapsedLevelsAreSubtotals="1" fieldPosition="0">
        <references count="1">
          <reference field="4" count="1">
            <x v="0"/>
          </reference>
        </references>
      </pivotArea>
    </format>
    <format dxfId="38">
      <pivotArea collapsedLevelsAreSubtotals="1" fieldPosition="0">
        <references count="1">
          <reference field="4" count="1">
            <x v="1"/>
          </reference>
        </references>
      </pivotArea>
    </format>
    <format dxfId="37">
      <pivotArea field="4" type="button" dataOnly="0" labelOnly="1" outline="0" axis="axisRow" fieldPosition="0"/>
    </format>
    <format dxfId="36">
      <pivotArea outline="0" fieldPosition="0">
        <references count="1">
          <reference field="4294967294" count="1">
            <x v="0"/>
          </reference>
        </references>
      </pivotArea>
    </format>
  </formats>
  <chartFormats count="7">
    <chartFormat chart="9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2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4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16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8CCA2-E9E3-CE49-AED2-688A299EF24B}" name="tbl_eagame" cacheId="20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">
  <location ref="B32:E34" firstHeaderRow="0" firstDataRow="1" firstDataCol="1"/>
  <pivotFields count="21">
    <pivotField showAll="0" defaultSubtotal="0"/>
    <pivotField showAll="0" defaultSubtotal="0"/>
    <pivotField showAll="0" defaultSubtotal="0">
      <items count="3">
        <item h="1" x="1"/>
        <item x="2"/>
        <item x="0"/>
      </items>
    </pivotField>
    <pivotField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44" showAll="0" defaultSubtotal="0"/>
    <pivotField showAll="0" defaultSubtotal="0">
      <items count="3">
        <item x="1"/>
        <item x="0"/>
        <item x="2"/>
      </items>
    </pivotField>
    <pivotField axis="axisRow" dataField="1" showAll="0" defaultSubtotal="0">
      <items count="2">
        <item h="1" x="1"/>
        <item x="0"/>
      </items>
    </pivotField>
    <pivotField dataField="1" showAll="0" defaultSubtotal="0"/>
    <pivotField showAll="0" defaultSubtotal="0">
      <items count="2">
        <item x="1"/>
        <item x="0"/>
      </items>
    </pivotField>
    <pivotField numFmtId="44" showAll="0" defaultSubtotal="0"/>
    <pivotField numFmtId="44" showAll="0" defaultSubtotal="0"/>
    <pivotField dataField="1" numFmtId="44" showAll="0" defaultSubtotal="0"/>
    <pivotField subtotalTop="0" showAll="0" defaultSubtotal="0"/>
    <pivotField subtotalTop="0" showAll="0" defaultSubtotal="0"/>
    <pivotField numFmtId="44" subtotalTop="0" showAll="0" defaultSubtotal="0"/>
    <pivotField numFmtId="1" subtotalTop="0" showAll="0" defaultSubtotal="0"/>
    <pivotField numFmtId="1" subtotalTop="0" showAll="0" defaultSubtotal="0"/>
    <pivotField numFmtId="1" subtotalTop="0" showAll="0" defaultSubtotal="0"/>
    <pivotField subtotalTop="0" showAll="0" defaultSubtotal="0"/>
    <pivotField subtotalTop="0" showAll="0" defaultSubtotal="0"/>
  </pivotFields>
  <rowFields count="1">
    <field x="7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EA Play Season Pass" fld="7" subtotal="count" baseField="0" baseItem="0"/>
    <dataField name="Soma de EA Play Season Pass_x000a_Price" fld="8" baseField="0" baseItem="0" numFmtId="164"/>
    <dataField name="Soma de Total Value" fld="12" baseField="0" baseItem="0" numFmtId="164"/>
  </dataFields>
  <pivotTableStyleInfo name="PivotStyleLight16" showRowHeaders="1" showColHeaders="1" showRowStripes="0" showColStripes="0" showLastColumn="1"/>
  <filters count="1">
    <filter fld="3" type="dateBetween" evalOrder="-1" id="15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CA52A7-D202-614C-8024-1FBA2B76E71A}" name="tbl_plan_discount" cacheId="20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J54:L56" firstHeaderRow="0" firstDataRow="1" firstDataCol="1" rowPageCount="1" colPageCount="1"/>
  <pivotFields count="21">
    <pivotField showAll="0"/>
    <pivotField showAll="0"/>
    <pivotField axis="axisRow" showAll="0">
      <items count="4">
        <item h="1"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dataField="1" numFmtId="44" showAll="0"/>
    <pivotField dataField="1" numFmtId="44" showAll="0"/>
    <pivotField axis="axisPage" showAll="0">
      <items count="3">
        <item x="1"/>
        <item x="0"/>
        <item t="default"/>
      </items>
    </pivotField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2"/>
  </rowFields>
  <rowItems count="2"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3" hier="-1"/>
  </pageFields>
  <dataFields count="2">
    <dataField name="Soma de Total Value" fld="12" baseField="0" baseItem="0"/>
    <dataField name="Soma de Coupon Value" fld="11" baseField="0" baseItem="0"/>
  </dataFields>
  <chartFormats count="12">
    <chartFormat chart="4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7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38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39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4" format="4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1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  <chartFormat chart="11" format="7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3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4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75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7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77">
      <pivotArea type="data" outline="0" fieldPosition="0">
        <references count="2">
          <reference field="4294967294" count="1" selected="0">
            <x v="1"/>
          </reference>
          <reference field="2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dateBetween" evalOrder="-1" id="201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049A73-91F0-0B4E-863A-3E5D196ED952}" name="tbl_composition " cacheId="207" dataOnRows="1" applyNumberFormats="0" applyBorderFormats="0" applyFontFormats="0" applyPatternFormats="0" applyAlignmentFormats="0" applyWidthHeightFormats="1" dataCaption="Valores" updatedVersion="8" minRefreshableVersion="5" useAutoFormatting="1" rowGrandTotals="0" itemPrintTitles="1" createdVersion="8" indent="0" outline="1" outlineData="1" multipleFieldFilters="0" chartFormat="15">
  <location ref="J28:K32" firstHeaderRow="1" firstDataRow="1" firstDataCol="1"/>
  <pivotFields count="21">
    <pivotField showAll="0"/>
    <pivotField showAll="0"/>
    <pivotField showAll="0">
      <items count="4">
        <item h="1"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dataField="1"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dataField="1" showAll="0"/>
    <pivotField showAll="0">
      <items count="3">
        <item x="1"/>
        <item x="0"/>
        <item t="default"/>
      </items>
    </pivotField>
    <pivotField dataField="1" numFmtId="44" showAll="0"/>
    <pivotField dataField="1" numFmtId="44" showAll="0"/>
    <pivotField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Items count="1">
    <i/>
  </colItems>
  <dataFields count="4">
    <dataField name="Soma de Minecraft Season Pass Price" fld="10" baseField="0" baseItem="0"/>
    <dataField name="Soma de EA Play Season Pass_x000a_Price" fld="8" baseField="0" baseItem="0"/>
    <dataField name="Soma de Subscription Price" fld="5" baseField="0" baseItem="0"/>
    <dataField name="Soma de Coupon Value" fld="11" baseField="0" baseItem="0"/>
  </dataFields>
  <pivotTableStyleInfo name="PivotStyleLight16" showRowHeaders="1" showColHeaders="1" showRowStripes="0" showColStripes="0" showLastColumn="1"/>
  <filters count="1">
    <filter fld="3" type="dateBetween" evalOrder="-1" id="15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DE1B86-B693-A046-B2B6-F44B51AFA353}" name="tbl_discount" cacheId="20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14">
  <location ref="J47:L48" firstHeaderRow="0" firstDataRow="1" firstDataCol="0"/>
  <pivotFields count="21">
    <pivotField showAll="0"/>
    <pivotField showAll="0"/>
    <pivotField dataField="1" showAll="0">
      <items count="4">
        <item h="1" x="1"/>
        <item x="2"/>
        <item x="0"/>
        <item t="default"/>
      </items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>
      <items count="3">
        <item h="1" x="1"/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numFmtId="44" showAll="0"/>
    <pivotField dataField="1" numFmtId="44" showAll="0"/>
    <pivotField dataField="1" numFmtId="44" showAll="0"/>
    <pivotField showAll="0"/>
    <pivotField showAll="0"/>
    <pivotField numFmtId="44" showAll="0"/>
    <pivotField numFmtId="1" showAll="0"/>
    <pivotField numFmtId="1" showAll="0"/>
    <pivotField numFmtId="1"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oma de Coupon Value" fld="11" baseField="0" baseItem="0"/>
    <dataField name="Soma de Total Value" fld="12" baseField="0" baseItem="0"/>
    <dataField name="Contagem de Plan" fld="2" subtotal="count" baseField="0" baseItem="0"/>
  </dataFields>
  <pivotTableStyleInfo name="PivotStyleLight16" showRowHeaders="1" showColHeaders="1" showRowStripes="0" showColStripes="0" showLastColumn="1"/>
  <filters count="1">
    <filter fld="3" type="dateBetween" evalOrder="-1" id="15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033CAD-BCEA-2740-9E94-F29055A39A09}" name="tbl_minecraft" cacheId="207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">
  <location ref="B23:E25" firstHeaderRow="0" firstDataRow="1" firstDataCol="1"/>
  <pivotFields count="21">
    <pivotField showAll="0" defaultSubtotal="0"/>
    <pivotField showAll="0" defaultSubtotal="0"/>
    <pivotField showAll="0" defaultSubtotal="0">
      <items count="3">
        <item h="1" x="1"/>
        <item x="2"/>
        <item x="0"/>
      </items>
    </pivotField>
    <pivotField numFmtId="14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numFmtId="44" showAll="0" defaultSubtotal="0"/>
    <pivotField showAll="0" defaultSubtotal="0">
      <items count="3">
        <item x="1"/>
        <item x="0"/>
        <item x="2"/>
      </items>
    </pivotField>
    <pivotField showAll="0" defaultSubtotal="0">
      <items count="2">
        <item h="1" x="1"/>
        <item x="0"/>
      </items>
    </pivotField>
    <pivotField showAll="0" defaultSubtotal="0"/>
    <pivotField axis="axisRow" dataField="1" showAll="0" defaultSubtotal="0">
      <items count="2">
        <item x="1"/>
        <item x="0"/>
      </items>
    </pivotField>
    <pivotField dataField="1" numFmtId="44" showAll="0" defaultSubtotal="0"/>
    <pivotField numFmtId="44" showAll="0" defaultSubtotal="0"/>
    <pivotField dataField="1" numFmtId="44" showAll="0" defaultSubtotal="0"/>
    <pivotField subtotalTop="0" showAll="0" defaultSubtotal="0"/>
    <pivotField subtotalTop="0" showAll="0" defaultSubtotal="0"/>
    <pivotField numFmtId="44" subtotalTop="0" showAll="0" defaultSubtotal="0"/>
    <pivotField numFmtId="1" subtotalTop="0" showAll="0" defaultSubtotal="0"/>
    <pivotField numFmtId="1" subtotalTop="0" showAll="0" defaultSubtotal="0"/>
    <pivotField numFmtId="1" subtotalTop="0" showAll="0" defaultSubtotal="0"/>
    <pivotField subtotalTop="0" showAll="0" defaultSubtotal="0"/>
    <pivotField subtotalTop="0" showAll="0" defaultSubtotal="0"/>
  </pivotFields>
  <rowFields count="1">
    <field x="9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ntagem de Minecraft Season Pass" fld="9" subtotal="count" baseField="0" baseItem="0"/>
    <dataField name="Soma de Minecraft Season Pass Price" fld="10" baseField="0" baseItem="0" numFmtId="164"/>
    <dataField name="Soma de Total Value" fld="12" baseField="0" baseItem="0" numFmtId="164"/>
  </dataFields>
  <pivotTableStyleInfo name="PivotStyleLight16" showRowHeaders="1" showColHeaders="1" showRowStripes="0" showColStripes="0" showLastColumn="1"/>
  <filters count="1">
    <filter fld="3" type="dateBetween" evalOrder="-1" id="158" name="Start Date">
      <autoFilter ref="A1">
        <filterColumn colId="0">
          <customFilters and="1">
            <customFilter operator="greaterThanOrEqual" val="45292"/>
            <customFilter operator="lessThanOrEqual" val="4553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1" xr10:uid="{6B8CCC27-88C5-FA4C-84D2-ABD016B0183F}" sourceName="Subscription Type">
  <pivotTables>
    <pivotTable tabId="3" name="tbl_revenue"/>
    <pivotTable tabId="3" name="Tabela dinâmica1"/>
    <pivotTable tabId="3" name="tbl_minecraft"/>
    <pivotTable tabId="3" name="tbl_eagame"/>
    <pivotTable tabId="3" name="tbl_autorenewal"/>
    <pivotTable tabId="3" name="tbl_avarege_ticket"/>
    <pivotTable tabId="3" name="tbl_composition "/>
    <pivotTable tabId="3" name="tbl_discount"/>
    <pivotTable tabId="3" name="tbl_plan_discount"/>
    <pivotTable tabId="3" name="tbl_users"/>
  </pivotTables>
  <data>
    <tabular pivotCacheId="2055003562" showMissing="0" crossFilter="none">
      <items count="3">
        <i x="1" s="1"/>
        <i x="0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97BF5C73-F6F6-BA46-BBB9-A8DE2CF2F243}" sourceName="EA Play Season Pass">
  <pivotTables>
    <pivotTable tabId="3" name="tbl_composition "/>
    <pivotTable tabId="3" name="Tabela dinâmica1"/>
    <pivotTable tabId="3" name="tbl_revenue"/>
    <pivotTable tabId="3" name="tbl_plan_discount"/>
    <pivotTable tabId="3" name="tbl_minecraft"/>
    <pivotTable tabId="3" name="tbl_eagame"/>
    <pivotTable tabId="3" name="tbl_discount"/>
    <pivotTable tabId="3" name="tbl_autorenewal"/>
    <pivotTable tabId="3" name="tbl_avarege_ticket"/>
  </pivotTables>
  <data>
    <tabular pivotCacheId="2055003562">
      <items count="2">
        <i x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BBD5CDE5-A7D4-7148-AA35-4F0776258718}" sourceName="Minecraft Season Pass">
  <pivotTables>
    <pivotTable tabId="3" name="tbl_composition "/>
    <pivotTable tabId="3" name="Tabela dinâmica1"/>
    <pivotTable tabId="3" name="tbl_minecraft"/>
    <pivotTable tabId="3" name="tbl_eagame"/>
    <pivotTable tabId="3" name="tbl_autorenewal"/>
    <pivotTable tabId="3" name="tbl_avarege_ticket"/>
    <pivotTable tabId="3" name="tbl_discount"/>
    <pivotTable tabId="3" name="tbl_plan_discount"/>
    <pivotTable tabId="3" name="tbl_revenue"/>
  </pivotTables>
  <data>
    <tabular pivotCacheId="2055003562">
      <items count="2">
        <i x="0" s="1"/>
        <i x="1" s="1" nd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73600F35-E32B-2746-80EE-75E4C854DA77}" sourceName="Plan">
  <pivotTables>
    <pivotTable tabId="3" name="Tabela dinâmica1"/>
    <pivotTable tabId="3" name="tbl_autorenewal"/>
    <pivotTable tabId="3" name="tbl_avarege_ticket"/>
    <pivotTable tabId="3" name="tbl_composition "/>
    <pivotTable tabId="3" name="tbl_discount"/>
    <pivotTable tabId="3" name="tbl_eagame"/>
    <pivotTable tabId="3" name="tbl_minecraft"/>
    <pivotTable tabId="3" name="tbl_plan_discount"/>
    <pivotTable tabId="3" name="tbl_revenue"/>
    <pivotTable tabId="3" name="tbl_users"/>
  </pivotTables>
  <data>
    <tabular pivotCacheId="2055003562">
      <items count="3">
        <i x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8" xr10:uid="{127B564F-612C-7946-B21A-AD6F6A429E5A}" cache="SegmentaçãodeDados_Subscription_Type1" caption=" sd_subscription_type" style="SlicerStyleLight6 2 2" rowHeight="237744"/>
  <slicer name="EA Play Season Pass 7" xr10:uid="{EB119633-CD6C-1148-ABFD-96B9F7AE6EA9}" cache="SegmentaçãodeDados_EA_Play_Season_Pass" caption="sd_EA_Play" style="SlicerStyleLight6 3 4" rowHeight="230716"/>
  <slicer name="Minecraft Season Pass 7" xr10:uid="{3436FEDD-C52A-EB4F-B6B1-3FC3A3C203DF}" cache="SegmentaçãodeDados_Minecraft_Season_Pass" caption="Minecraft Season Pass" style="SlicerStyleLight6 3 3" rowHeight="230716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6" xr10:uid="{89772D18-FF0B-4C43-8585-4D1AE5A8A108}" cache="SegmentaçãodeDados_Subscription_Type1" caption=" sd_subscription_type" style="SlicerStyleLight6 2 2" rowHeight="237744"/>
  <slicer name="Plan 1" xr10:uid="{4B033F2D-7814-2B4B-91F0-4EA56EBFA50B}" cache="SegmentaçãodeDados_Plan" caption="Plan" style="SlicerStyleLight6 3 2 2" rowHeight="230716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3" xr10:uid="{0FFA2B16-A5FA-5641-9529-F6B84A94E3E7}" cache="SegmentaçãodeDados_Subscription_Type1" caption=" sd_subscription_type" style="SlicerStyleLight6 2 2" rowHeight="237744"/>
  <slicer name="EA Play Season Pass 2" xr10:uid="{8DDA55C4-5CEB-A344-8E07-E52F1CBC46A7}" cache="SegmentaçãodeDados_EA_Play_Season_Pass" caption="sd_EA_Play" style="SlicerStyleLight6 3 4" rowHeight="230716"/>
  <slicer name="Minecraft Season Pass 2" xr10:uid="{BE49DD6C-0A01-DF45-8A55-352EC86144CE}" cache="SegmentaçãodeDados_Minecraft_Season_Pass" caption="sd_Minecraft" style="SlicerStyleLight6 3 3" rowHeight="230716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78360E-F2A5-F84E-B262-3E075EF57095}" name="tbl_apoio5" displayName="tbl_apoio5" ref="S6:Z15" totalsRowShown="0" headerRowDxfId="9" tableBorderDxfId="8">
  <autoFilter ref="S6:Z15" xr:uid="{FDA1CA3A-9CC1-9147-97D6-1AB77322B80E}"/>
  <tableColumns count="8">
    <tableColumn id="1" xr3:uid="{B395C305-3DFA-314E-BEF1-DF1D0258692F}" name="Plan" dataDxfId="7"/>
    <tableColumn id="6" xr3:uid="{A77CA8E3-2AFE-4045-96EE-354A43BA77F6}" name="Plan2" dataDxfId="6"/>
    <tableColumn id="7" xr3:uid="{1BD47172-0D42-FB47-8771-48559B522843}" name="EA Play Season Pass" dataDxfId="5"/>
    <tableColumn id="2" xr3:uid="{4EE607E2-29BF-444A-9DFD-345FEE03A699}" name="EA Play Season Pass2" dataDxfId="4"/>
    <tableColumn id="8" xr3:uid="{D3FD234D-7DF9-4B41-A41E-F86A96A17475}" name="Minecraft Season Pass" dataDxfId="3"/>
    <tableColumn id="3" xr3:uid="{7126D8CC-5CF3-F84B-9A89-D54C5AFF6EA5}" name="Minecraft Season Pass2" dataDxfId="2"/>
    <tableColumn id="4" xr3:uid="{63A15A74-F9C5-174F-B2D9-F1AE1044D594}" name="soma" dataDxfId="1">
      <calculatedColumnFormula>SUM(tbl_apoio5[[#This Row],[Plan2]:[Minecraft Season Pass2]])</calculatedColumnFormula>
    </tableColumn>
    <tableColumn id="5" xr3:uid="{0673C62F-8490-4343-8C90-247437FF11A8}" name="output2" dataDxfId="0"/>
  </tableColumns>
  <tableStyleInfo name="TableStyleLight1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18BCB14-78B7-6349-B605-CEC2C601F689}" name="tbl_xbox" displayName="tbl_xbox" ref="A1:U297" totalsRowShown="0" dataDxfId="31">
  <autoFilter ref="A1:U297" xr:uid="{34E0E886-4200-4B36-97B3-63DB74FF40A0}"/>
  <tableColumns count="21">
    <tableColumn id="1" xr3:uid="{794F2F55-8168-C748-ABB9-F4BF2B329030}" name="Subscriber ID" dataDxfId="30"/>
    <tableColumn id="2" xr3:uid="{7B9F72E6-2C24-564D-9F0C-447C8F2A854D}" name="Name" dataDxfId="29"/>
    <tableColumn id="3" xr3:uid="{7A6CE2DE-5EDE-7445-BCAC-5662CF59CBBC}" name="Plan" dataDxfId="28"/>
    <tableColumn id="4" xr3:uid="{1A545D76-C6AB-FE44-A536-17D505F3D3C2}" name="Start Date" dataDxfId="27"/>
    <tableColumn id="5" xr3:uid="{C49A2EB2-61FF-2749-AF98-2D5469636490}" name="Auto Renewal" dataDxfId="26"/>
    <tableColumn id="6" xr3:uid="{E9F63D9E-3156-CC43-BEFF-907B492686D1}" name="Subscription Price" dataDxfId="25" dataCellStyle="Moeda"/>
    <tableColumn id="7" xr3:uid="{4A38CC34-50F1-BA4E-ABA8-5158D4DDB10C}" name="Subscription Type" dataDxfId="24"/>
    <tableColumn id="8" xr3:uid="{BD68D688-0F1E-0048-B9B6-0A27A4B87A38}" name="EA Play Season Pass" dataDxfId="23"/>
    <tableColumn id="13" xr3:uid="{858BA07F-B779-AE43-8265-2AFEC355CD96}" name="EA Play Season Pass_x000a_Price" dataDxfId="22" dataCellStyle="Moeda"/>
    <tableColumn id="9" xr3:uid="{5D57E90C-9DC5-EA4C-87F0-669C6F2E1946}" name="Minecraft Season Pass" dataDxfId="21"/>
    <tableColumn id="10" xr3:uid="{3926968B-C2B6-F647-8FBC-4B4EEE5810DA}" name="Minecraft Season Pass Price" dataDxfId="20" dataCellStyle="Moeda"/>
    <tableColumn id="11" xr3:uid="{8989C72A-601C-4D4C-B125-4BF5A7911621}" name="Coupon Value" dataDxfId="19" dataCellStyle="Moeda"/>
    <tableColumn id="12" xr3:uid="{07AC7645-9710-3644-ADC4-77E67F5DBDA1}" name="Total Value" dataDxfId="18" dataCellStyle="Moeda"/>
    <tableColumn id="14" xr3:uid="{715DD8DA-FC23-8E4D-9C31-7F6ACDC98D7D}" name="Coupon Value 2" dataDxfId="17" dataCellStyle="20% - Ênfase2">
      <calculatedColumnFormula>IF(tbl_xbox[[#This Row],[Coupon Value]]=$L$3,"No","Yes")</calculatedColumnFormula>
    </tableColumn>
    <tableColumn id="23" xr3:uid="{54C665E3-9070-8143-81A9-BDBB4F300319}" name=" Season Pass" dataDxfId="11" dataCellStyle="20% - Ênfase2">
      <calculatedColumnFormula>IF(OR(tbl_xbox[[#This Row],[EA Play Season Pass]]="Yes",tbl_xbox[[#This Row],[Minecraft Season Pass]]="Yes"),"Yes","No")</calculatedColumnFormula>
    </tableColumn>
    <tableColumn id="22" xr3:uid="{58CE037B-F26D-6C42-B8F4-844E694F2336}" name="Gross revenue" dataDxfId="10" dataCellStyle="20% - Ênfase2">
      <calculatedColumnFormula>tbl_xbox[[#This Row],[Subscription Price]]+tbl_xbox[[#This Row],[EA Play Season Pass
Price]]+tbl_xbox[[#This Row],[Minecraft Season Pass Price]]</calculatedColumnFormula>
    </tableColumn>
    <tableColumn id="17" xr3:uid="{321AC7E3-5181-7D46-AB8E-122C6999FFEB}" name="Plan2" dataDxfId="16" dataCellStyle="20% - Ênfase2">
      <calculatedColumnFormula>VLOOKUP(tbl_xbox[[#This Row],[Plan]],tbl_apoio5[#All],2,FALSE)</calculatedColumnFormula>
    </tableColumn>
    <tableColumn id="18" xr3:uid="{A097EC94-2427-A84C-B75A-7315289F984A}" name="EA Play Season Pass2" dataDxfId="15" dataCellStyle="20% - Ênfase2">
      <calculatedColumnFormula>VLOOKUP(tbl_xbox[[#This Row],[EA Play Season Pass]],tbl_apoio5[[EA Play Season Pass]:[output2]],2,FALSE)</calculatedColumnFormula>
    </tableColumn>
    <tableColumn id="19" xr3:uid="{FB9740AC-4E1E-C24D-A8DC-536A1CFC9AE8}" name="Minecraft Season Pass2" dataDxfId="14" dataCellStyle="20% - Ênfase2">
      <calculatedColumnFormula>VLOOKUP(tbl_xbox[[#This Row],[Minecraft Season Pass]],tbl_apoio5[[Minecraft Season Pass]:[Minecraft Season Pass2]],2,FALSE)</calculatedColumnFormula>
    </tableColumn>
    <tableColumn id="20" xr3:uid="{3D1E563B-036D-CB4A-89D8-BB9E7415FD82}" name="soma" dataDxfId="13" dataCellStyle="20% - Ênfase2">
      <calculatedColumnFormula>SUM(tbl_xbox[[#This Row],[Plan2]:[Minecraft Season Pass2]])</calculatedColumnFormula>
    </tableColumn>
    <tableColumn id="21" xr3:uid="{314A79C0-AF73-C241-A3C3-34FA03583196}" name="Pack" dataDxfId="12" dataCellStyle="20% - Ênfase2">
      <calculatedColumnFormula>VLOOKUP(tbl_xbox[[#This Row],[soma]],tbl_apoio5[[#All],[soma]:[output2]],2,FALSE)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Start_Date" xr10:uid="{3EAC1733-7459-3E46-A1C5-4BCDD0DFBCCB}" sourceName="Start Date">
  <pivotTables>
    <pivotTable tabId="3" name="tbl_plan_discount"/>
    <pivotTable tabId="3" name="Tabela dinâmica1"/>
    <pivotTable tabId="3" name="tbl_revenue"/>
    <pivotTable tabId="3" name="tbl_composition "/>
    <pivotTable tabId="3" name="tbl_autorenewal"/>
    <pivotTable tabId="3" name="tbl_minecraft"/>
    <pivotTable tabId="3" name="tbl_eagame"/>
    <pivotTable tabId="3" name="tbl_discount"/>
  </pivotTables>
  <state minimalRefreshVersion="6" lastRefreshVersion="6" pivotCacheId="2055003562" filterType="dateBetween">
    <selection startDate="2024-01-01T00:00:00" endDate="2024-08-31T00:00:00"/>
    <bounds startDate="2024-01-01T00:00:00" endDate="2025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 2" xr10:uid="{7E4D89CB-2188-9542-B8DE-973957DD7409}" cache="NativeTimeline_Start_Date" caption="Start Date" showHeader="0" level="2" selectionLevel="2" scrollPosition="2024-01-01T00:00:00" style="TimeSlicerStyleLight3 2"/>
</timelines>
</file>

<file path=xl/timelines/timeline2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Start Date 1" xr10:uid="{BD37408C-48FC-EB48-87F3-0BED5E41BD3F}" cache="NativeTimeline_Start_Date" caption="Start Date" showHeader="0" level="2" selectionLevel="2" scrollPosition="2024-01-01T00:00:00" style="TimeSlicerStyleLight3 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3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1/relationships/timeline" Target="../timelines/timeline2.xml"/><Relationship Id="rId2" Type="http://schemas.microsoft.com/office/2007/relationships/slicer" Target="../slicers/slicer3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Z21"/>
  <sheetViews>
    <sheetView showGridLines="0" zoomScaleNormal="100" workbookViewId="0">
      <selection activeCell="Q4" sqref="Q4"/>
    </sheetView>
  </sheetViews>
  <sheetFormatPr baseColWidth="10" defaultColWidth="8.83203125" defaultRowHeight="15" x14ac:dyDescent="0.2"/>
  <cols>
    <col min="9" max="9" width="3.5" customWidth="1"/>
    <col min="19" max="19" width="9.5" bestFit="1" customWidth="1"/>
    <col min="20" max="20" width="10.5" bestFit="1" customWidth="1"/>
    <col min="21" max="21" width="21.6640625" bestFit="1" customWidth="1"/>
    <col min="22" max="22" width="22.6640625" bestFit="1" customWidth="1"/>
    <col min="23" max="23" width="23.5" bestFit="1" customWidth="1"/>
    <col min="24" max="24" width="24.5" bestFit="1" customWidth="1"/>
    <col min="25" max="25" width="10.33203125" bestFit="1" customWidth="1"/>
    <col min="26" max="26" width="15" bestFit="1" customWidth="1"/>
  </cols>
  <sheetData>
    <row r="3" spans="2:26" ht="21" thickBot="1" x14ac:dyDescent="0.3">
      <c r="B3" s="1" t="s">
        <v>0</v>
      </c>
      <c r="C3" s="1"/>
      <c r="D3" s="1"/>
      <c r="E3" s="1"/>
      <c r="F3" s="1"/>
      <c r="G3" s="1"/>
      <c r="H3" s="1"/>
      <c r="S3" s="1" t="s">
        <v>367</v>
      </c>
      <c r="T3" s="1"/>
      <c r="U3" s="1"/>
      <c r="V3" s="1"/>
      <c r="W3" s="1"/>
      <c r="X3" s="1"/>
      <c r="Y3" s="1"/>
    </row>
    <row r="4" spans="2:26" ht="16" thickTop="1" x14ac:dyDescent="0.2"/>
    <row r="5" spans="2:26" x14ac:dyDescent="0.2">
      <c r="B5" s="3"/>
      <c r="C5" t="s">
        <v>326</v>
      </c>
      <c r="V5">
        <v>3</v>
      </c>
      <c r="X5">
        <v>6</v>
      </c>
    </row>
    <row r="6" spans="2:26" ht="19" customHeight="1" x14ac:dyDescent="0.2">
      <c r="B6" s="18"/>
      <c r="C6" t="s">
        <v>323</v>
      </c>
      <c r="S6" s="5" t="s">
        <v>5</v>
      </c>
      <c r="T6" s="5" t="s">
        <v>360</v>
      </c>
      <c r="U6" s="5" t="s">
        <v>301</v>
      </c>
      <c r="V6" s="5" t="s">
        <v>361</v>
      </c>
      <c r="W6" s="5" t="s">
        <v>22</v>
      </c>
      <c r="X6" s="5" t="s">
        <v>362</v>
      </c>
      <c r="Y6" s="5" t="s">
        <v>364</v>
      </c>
      <c r="Z6" s="5" t="s">
        <v>363</v>
      </c>
    </row>
    <row r="7" spans="2:26" ht="16" x14ac:dyDescent="0.2">
      <c r="B7" s="9"/>
      <c r="C7" t="s">
        <v>304</v>
      </c>
      <c r="S7" s="4" t="s">
        <v>14</v>
      </c>
      <c r="T7" s="4">
        <v>0</v>
      </c>
      <c r="U7" s="38" t="s">
        <v>15</v>
      </c>
      <c r="V7" s="4">
        <v>0</v>
      </c>
      <c r="W7" s="38" t="s">
        <v>15</v>
      </c>
      <c r="X7" s="4">
        <v>0</v>
      </c>
      <c r="Y7">
        <f>SUM(tbl_apoio5[[#This Row],[Plan2]:[Minecraft Season Pass2]])</f>
        <v>0</v>
      </c>
      <c r="Z7" s="6" t="s">
        <v>357</v>
      </c>
    </row>
    <row r="8" spans="2:26" ht="16" x14ac:dyDescent="0.2">
      <c r="B8" s="8"/>
      <c r="C8" t="s">
        <v>327</v>
      </c>
      <c r="S8" s="4" t="s">
        <v>18</v>
      </c>
      <c r="T8" s="4">
        <v>1</v>
      </c>
      <c r="U8" s="38" t="s">
        <v>15</v>
      </c>
      <c r="V8" s="4">
        <v>0</v>
      </c>
      <c r="W8" s="38" t="s">
        <v>15</v>
      </c>
      <c r="X8" s="4">
        <v>0</v>
      </c>
      <c r="Y8">
        <f>SUM(tbl_apoio5[[#This Row],[Plan2]:[Minecraft Season Pass2]])</f>
        <v>1</v>
      </c>
      <c r="Z8" s="6" t="s">
        <v>357</v>
      </c>
    </row>
    <row r="9" spans="2:26" ht="16" x14ac:dyDescent="0.2">
      <c r="B9" s="19"/>
      <c r="C9" t="s">
        <v>324</v>
      </c>
      <c r="S9" s="4" t="s">
        <v>18</v>
      </c>
      <c r="T9" s="4">
        <v>1</v>
      </c>
      <c r="U9" s="38" t="s">
        <v>15</v>
      </c>
      <c r="V9" s="4">
        <v>0</v>
      </c>
      <c r="W9" s="38" t="s">
        <v>11</v>
      </c>
      <c r="X9" s="4">
        <v>6</v>
      </c>
      <c r="Y9">
        <f>SUM(tbl_apoio5[[#This Row],[Plan2]:[Minecraft Season Pass2]])</f>
        <v>7</v>
      </c>
      <c r="Z9" s="6" t="s">
        <v>355</v>
      </c>
    </row>
    <row r="10" spans="2:26" ht="16" x14ac:dyDescent="0.2">
      <c r="S10" s="4" t="s">
        <v>18</v>
      </c>
      <c r="T10" s="4">
        <v>1</v>
      </c>
      <c r="U10" s="38" t="s">
        <v>11</v>
      </c>
      <c r="V10" s="4">
        <v>3</v>
      </c>
      <c r="W10" s="38" t="s">
        <v>15</v>
      </c>
      <c r="X10" s="4">
        <v>0</v>
      </c>
      <c r="Y10">
        <f>SUM(tbl_apoio5[[#This Row],[Plan2]:[Minecraft Season Pass2]])</f>
        <v>4</v>
      </c>
      <c r="Z10" s="6" t="s">
        <v>359</v>
      </c>
    </row>
    <row r="11" spans="2:26" ht="16" customHeight="1" x14ac:dyDescent="0.2">
      <c r="S11" s="4" t="s">
        <v>18</v>
      </c>
      <c r="T11" s="4">
        <v>1</v>
      </c>
      <c r="U11" s="38" t="s">
        <v>11</v>
      </c>
      <c r="V11" s="4">
        <v>3</v>
      </c>
      <c r="W11" s="38" t="s">
        <v>11</v>
      </c>
      <c r="X11" s="4">
        <v>6</v>
      </c>
      <c r="Y11">
        <f>SUM(tbl_apoio5[[#This Row],[Plan2]:[Minecraft Season Pass2]])</f>
        <v>10</v>
      </c>
      <c r="Z11" s="6" t="s">
        <v>358</v>
      </c>
    </row>
    <row r="12" spans="2:26" ht="21" thickBot="1" x14ac:dyDescent="0.3">
      <c r="B12" s="1" t="s">
        <v>1</v>
      </c>
      <c r="C12" s="1"/>
      <c r="D12" s="1"/>
      <c r="E12" s="1"/>
      <c r="F12" s="1"/>
      <c r="G12" s="1"/>
      <c r="H12" s="1"/>
      <c r="J12" s="1" t="s">
        <v>2</v>
      </c>
      <c r="K12" s="1"/>
      <c r="L12" s="1"/>
      <c r="M12" s="1"/>
      <c r="N12" s="1"/>
      <c r="O12" s="1"/>
      <c r="P12" s="1"/>
      <c r="S12" s="4" t="s">
        <v>10</v>
      </c>
      <c r="T12" s="4">
        <v>2</v>
      </c>
      <c r="U12" s="38" t="s">
        <v>15</v>
      </c>
      <c r="V12" s="4">
        <v>0</v>
      </c>
      <c r="W12" s="38" t="s">
        <v>15</v>
      </c>
      <c r="X12" s="4">
        <v>0</v>
      </c>
      <c r="Y12">
        <f>SUM(tbl_apoio5[[#This Row],[Plan2]:[Minecraft Season Pass2]])</f>
        <v>2</v>
      </c>
      <c r="Z12" s="6" t="s">
        <v>357</v>
      </c>
    </row>
    <row r="13" spans="2:26" ht="17" thickTop="1" x14ac:dyDescent="0.2">
      <c r="B13" s="2"/>
      <c r="C13" s="2"/>
      <c r="D13" s="2"/>
      <c r="E13" s="2"/>
      <c r="F13" s="2"/>
      <c r="G13" s="2"/>
      <c r="H13" s="2"/>
      <c r="S13" s="4" t="s">
        <v>10</v>
      </c>
      <c r="T13" s="4">
        <v>2</v>
      </c>
      <c r="U13" s="38" t="s">
        <v>15</v>
      </c>
      <c r="V13" s="4">
        <v>0</v>
      </c>
      <c r="W13" s="38" t="s">
        <v>11</v>
      </c>
      <c r="X13" s="4">
        <v>6</v>
      </c>
      <c r="Y13">
        <f>SUM(tbl_apoio5[[#This Row],[Plan2]:[Minecraft Season Pass2]])</f>
        <v>8</v>
      </c>
      <c r="Z13" s="6" t="s">
        <v>355</v>
      </c>
    </row>
    <row r="14" spans="2:26" ht="16" x14ac:dyDescent="0.2">
      <c r="B14" s="2"/>
      <c r="C14" s="2"/>
      <c r="D14" s="2"/>
      <c r="E14" s="2"/>
      <c r="F14" s="2"/>
      <c r="G14" s="2"/>
      <c r="H14" s="2"/>
      <c r="S14" s="4" t="s">
        <v>10</v>
      </c>
      <c r="T14" s="4">
        <v>2</v>
      </c>
      <c r="U14" s="38" t="s">
        <v>11</v>
      </c>
      <c r="V14" s="4">
        <v>3</v>
      </c>
      <c r="W14" s="38" t="s">
        <v>15</v>
      </c>
      <c r="X14" s="4">
        <v>0</v>
      </c>
      <c r="Y14">
        <f>SUM(tbl_apoio5[[#This Row],[Plan2]:[Minecraft Season Pass2]])</f>
        <v>5</v>
      </c>
      <c r="Z14" s="6" t="s">
        <v>359</v>
      </c>
    </row>
    <row r="15" spans="2:26" ht="20" customHeight="1" x14ac:dyDescent="0.2">
      <c r="B15" s="2"/>
      <c r="C15" s="2"/>
      <c r="D15" s="2"/>
      <c r="E15" s="2"/>
      <c r="F15" s="2"/>
      <c r="G15" s="2"/>
      <c r="H15" s="2"/>
      <c r="S15" s="4" t="s">
        <v>10</v>
      </c>
      <c r="T15" s="4">
        <v>2</v>
      </c>
      <c r="U15" s="39" t="s">
        <v>11</v>
      </c>
      <c r="V15" s="4">
        <v>3</v>
      </c>
      <c r="W15" s="39" t="s">
        <v>11</v>
      </c>
      <c r="X15" s="4">
        <v>6</v>
      </c>
      <c r="Y15">
        <f>SUM(tbl_apoio5[[#This Row],[Plan2]:[Minecraft Season Pass2]])</f>
        <v>11</v>
      </c>
      <c r="Z15" s="6" t="s">
        <v>358</v>
      </c>
    </row>
    <row r="16" spans="2:26" x14ac:dyDescent="0.2">
      <c r="B16" s="2"/>
      <c r="C16" s="2"/>
      <c r="D16" s="2"/>
      <c r="E16" s="2"/>
      <c r="F16" s="2"/>
      <c r="G16" s="2"/>
      <c r="H16" s="2"/>
    </row>
    <row r="17" spans="2:8" x14ac:dyDescent="0.2">
      <c r="B17" s="2"/>
      <c r="C17" s="2"/>
      <c r="D17" s="2"/>
      <c r="E17" s="2"/>
      <c r="F17" s="2"/>
      <c r="G17" s="2"/>
      <c r="H17" s="2"/>
    </row>
    <row r="18" spans="2:8" x14ac:dyDescent="0.2">
      <c r="B18" s="2"/>
      <c r="C18" s="2"/>
      <c r="D18" s="2"/>
      <c r="E18" s="2"/>
      <c r="F18" s="2"/>
      <c r="G18" s="2"/>
      <c r="H18" s="2"/>
    </row>
    <row r="19" spans="2:8" x14ac:dyDescent="0.2">
      <c r="B19" s="2"/>
      <c r="C19" s="2"/>
      <c r="D19" s="2"/>
      <c r="E19" s="2"/>
      <c r="F19" s="2"/>
      <c r="G19" s="2"/>
      <c r="H19" s="2"/>
    </row>
    <row r="20" spans="2:8" x14ac:dyDescent="0.2">
      <c r="B20" s="2"/>
      <c r="C20" s="2"/>
      <c r="D20" s="2"/>
      <c r="E20" s="2"/>
      <c r="F20" s="2"/>
      <c r="G20" s="2"/>
      <c r="H20" s="2"/>
    </row>
    <row r="21" spans="2:8" x14ac:dyDescent="0.2">
      <c r="B21" s="2"/>
      <c r="C21" s="2"/>
      <c r="D21" s="2"/>
      <c r="E21" s="2"/>
      <c r="F21" s="2"/>
      <c r="G21" s="2"/>
      <c r="H21" s="2"/>
    </row>
  </sheetData>
  <phoneticPr fontId="5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DC63F-CB1D-C14E-800D-2CF581BB0951}">
  <sheetPr>
    <tabColor theme="3" tint="0.749992370372631"/>
  </sheetPr>
  <dimension ref="A1:V297"/>
  <sheetViews>
    <sheetView topLeftCell="A166" zoomScale="125" zoomScaleNormal="90" workbookViewId="0">
      <selection activeCell="I308" sqref="I308"/>
    </sheetView>
  </sheetViews>
  <sheetFormatPr baseColWidth="10" defaultColWidth="8.83203125" defaultRowHeight="15" x14ac:dyDescent="0.2"/>
  <cols>
    <col min="1" max="1" width="17.83203125" bestFit="1" customWidth="1"/>
    <col min="2" max="2" width="18.83203125" bestFit="1" customWidth="1"/>
    <col min="3" max="3" width="9.5" bestFit="1" customWidth="1"/>
    <col min="4" max="4" width="14.5" bestFit="1" customWidth="1"/>
    <col min="5" max="5" width="18" bestFit="1" customWidth="1"/>
    <col min="6" max="6" width="14.6640625" bestFit="1" customWidth="1"/>
    <col min="7" max="7" width="22" bestFit="1" customWidth="1"/>
    <col min="8" max="8" width="20.5" bestFit="1" customWidth="1"/>
    <col min="9" max="9" width="20.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" bestFit="1" customWidth="1"/>
    <col min="14" max="16" width="8.33203125" customWidth="1"/>
    <col min="17" max="20" width="18" style="37" customWidth="1"/>
    <col min="21" max="22" width="18" customWidth="1"/>
    <col min="23" max="23" width="9.5" customWidth="1"/>
    <col min="24" max="24" width="7.5" customWidth="1"/>
    <col min="25" max="25" width="18.5" customWidth="1"/>
    <col min="26" max="26" width="18.33203125" customWidth="1"/>
    <col min="27" max="27" width="22.5" customWidth="1"/>
    <col min="28" max="28" width="21" customWidth="1"/>
    <col min="29" max="29" width="7" customWidth="1"/>
    <col min="30" max="30" width="23" customWidth="1"/>
  </cols>
  <sheetData>
    <row r="1" spans="1:22" ht="32" x14ac:dyDescent="0.2">
      <c r="A1" s="5" t="s">
        <v>3</v>
      </c>
      <c r="B1" s="5" t="s">
        <v>4</v>
      </c>
      <c r="C1" s="5" t="s">
        <v>5</v>
      </c>
      <c r="D1" s="5" t="s">
        <v>6</v>
      </c>
      <c r="E1" s="5" t="s">
        <v>7</v>
      </c>
      <c r="F1" s="5" t="s">
        <v>303</v>
      </c>
      <c r="G1" s="5" t="s">
        <v>8</v>
      </c>
      <c r="H1" s="5" t="s">
        <v>301</v>
      </c>
      <c r="I1" s="5" t="s">
        <v>302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344</v>
      </c>
      <c r="O1" s="5" t="s">
        <v>366</v>
      </c>
      <c r="P1" s="5" t="s">
        <v>345</v>
      </c>
      <c r="Q1" s="5" t="s">
        <v>360</v>
      </c>
      <c r="R1" s="5" t="s">
        <v>361</v>
      </c>
      <c r="S1" s="5" t="s">
        <v>362</v>
      </c>
      <c r="T1" s="5" t="s">
        <v>364</v>
      </c>
      <c r="U1" s="5" t="s">
        <v>365</v>
      </c>
    </row>
    <row r="2" spans="1:22" ht="16.5" customHeight="1" x14ac:dyDescent="0.2">
      <c r="A2" s="4">
        <v>3231</v>
      </c>
      <c r="B2" s="4" t="s">
        <v>9</v>
      </c>
      <c r="C2" s="4" t="s">
        <v>10</v>
      </c>
      <c r="D2" s="6">
        <v>45292</v>
      </c>
      <c r="E2" s="4" t="s">
        <v>11</v>
      </c>
      <c r="F2" s="7">
        <v>15</v>
      </c>
      <c r="G2" s="4" t="s">
        <v>12</v>
      </c>
      <c r="H2" s="4" t="s">
        <v>11</v>
      </c>
      <c r="I2" s="7">
        <v>30</v>
      </c>
      <c r="J2" s="4" t="s">
        <v>11</v>
      </c>
      <c r="K2" s="7">
        <v>20</v>
      </c>
      <c r="L2" s="7">
        <v>5</v>
      </c>
      <c r="M2" s="7">
        <v>60</v>
      </c>
      <c r="N2" s="40" t="str">
        <f>IF(tbl_xbox[[#This Row],[Coupon Value]]=$L$3,"No","Yes")</f>
        <v>Yes</v>
      </c>
      <c r="O2" s="40" t="str">
        <f>IF(OR(tbl_xbox[[#This Row],[EA Play Season Pass]]="Yes",tbl_xbox[[#This Row],[Minecraft Season Pass]]="Yes"),"Yes","No")</f>
        <v>Yes</v>
      </c>
      <c r="P2" s="40">
        <f>tbl_xbox[[#This Row],[Subscription Price]]+tbl_xbox[[#This Row],[EA Play Season Pass
Price]]+tbl_xbox[[#This Row],[Minecraft Season Pass Price]]</f>
        <v>65</v>
      </c>
      <c r="Q2" s="41">
        <f>VLOOKUP(tbl_xbox[[#This Row],[Plan]],tbl_apoio5[#All],2,FALSE)</f>
        <v>2</v>
      </c>
      <c r="R2" s="41">
        <f>VLOOKUP(tbl_xbox[[#This Row],[EA Play Season Pass]],tbl_apoio5[[EA Play Season Pass]:[output2]],2,FALSE)</f>
        <v>3</v>
      </c>
      <c r="S2" s="41">
        <f>VLOOKUP(tbl_xbox[[#This Row],[Minecraft Season Pass]],tbl_apoio5[[Minecraft Season Pass]:[Minecraft Season Pass2]],2,FALSE)</f>
        <v>6</v>
      </c>
      <c r="T2" s="42">
        <f>SUM(tbl_xbox[[#This Row],[Plan2]:[Minecraft Season Pass2]])</f>
        <v>11</v>
      </c>
      <c r="U2" s="40" t="str">
        <f>VLOOKUP(tbl_xbox[[#This Row],[soma]],tbl_apoio5[[#All],[soma]:[output2]],2,FALSE)</f>
        <v>EA Play + Minecraft</v>
      </c>
      <c r="V2" s="7"/>
    </row>
    <row r="3" spans="1:22" ht="16.5" customHeight="1" x14ac:dyDescent="0.2">
      <c r="A3" s="4">
        <v>3232</v>
      </c>
      <c r="B3" s="4" t="s">
        <v>13</v>
      </c>
      <c r="C3" s="4" t="s">
        <v>14</v>
      </c>
      <c r="D3" s="6">
        <v>45306</v>
      </c>
      <c r="E3" s="4" t="s">
        <v>15</v>
      </c>
      <c r="F3" s="7">
        <v>5</v>
      </c>
      <c r="G3" s="4" t="s">
        <v>16</v>
      </c>
      <c r="H3" s="4" t="s">
        <v>15</v>
      </c>
      <c r="I3" s="7">
        <v>0</v>
      </c>
      <c r="J3" s="4" t="s">
        <v>15</v>
      </c>
      <c r="K3" s="7">
        <v>0</v>
      </c>
      <c r="L3" s="7">
        <v>0</v>
      </c>
      <c r="M3" s="7">
        <v>5</v>
      </c>
      <c r="N3" s="40" t="str">
        <f>IF(tbl_xbox[[#This Row],[Coupon Value]]=$L$3,"No","Yes")</f>
        <v>No</v>
      </c>
      <c r="O3" s="40" t="str">
        <f>IF(OR(tbl_xbox[[#This Row],[EA Play Season Pass]]="Yes",tbl_xbox[[#This Row],[Minecraft Season Pass]]="Yes"),"Yes","No")</f>
        <v>No</v>
      </c>
      <c r="P3" s="40">
        <f>tbl_xbox[[#This Row],[Subscription Price]]+tbl_xbox[[#This Row],[EA Play Season Pass
Price]]+tbl_xbox[[#This Row],[Minecraft Season Pass Price]]</f>
        <v>5</v>
      </c>
      <c r="Q3" s="41">
        <f>VLOOKUP(tbl_xbox[[#This Row],[Plan]],tbl_apoio5[#All],2,FALSE)</f>
        <v>0</v>
      </c>
      <c r="R3" s="41">
        <f>VLOOKUP(tbl_xbox[[#This Row],[EA Play Season Pass]],tbl_apoio5[[EA Play Season Pass]:[output2]],2,FALSE)</f>
        <v>0</v>
      </c>
      <c r="S3" s="41">
        <f>VLOOKUP(tbl_xbox[[#This Row],[Minecraft Season Pass]],tbl_apoio5[[Minecraft Season Pass]:[Minecraft Season Pass2]],2,FALSE)</f>
        <v>0</v>
      </c>
      <c r="T3" s="41">
        <f>SUM(tbl_xbox[[#This Row],[Plan2]:[Minecraft Season Pass2]])</f>
        <v>0</v>
      </c>
      <c r="U3" s="40" t="str">
        <f>VLOOKUP(tbl_xbox[[#This Row],[soma]],tbl_apoio5[[#All],[soma]:[output2]],2,FALSE)</f>
        <v>No Extras</v>
      </c>
      <c r="V3" s="7"/>
    </row>
    <row r="4" spans="1:22" ht="16.5" customHeight="1" x14ac:dyDescent="0.2">
      <c r="A4" s="4">
        <v>3233</v>
      </c>
      <c r="B4" s="4" t="s">
        <v>17</v>
      </c>
      <c r="C4" s="4" t="s">
        <v>18</v>
      </c>
      <c r="D4" s="6">
        <v>45332</v>
      </c>
      <c r="E4" s="4" t="s">
        <v>11</v>
      </c>
      <c r="F4" s="7">
        <v>10</v>
      </c>
      <c r="G4" s="4" t="s">
        <v>19</v>
      </c>
      <c r="H4" s="4" t="s">
        <v>15</v>
      </c>
      <c r="I4" s="7">
        <v>0</v>
      </c>
      <c r="J4" s="4" t="s">
        <v>11</v>
      </c>
      <c r="K4" s="7">
        <v>20</v>
      </c>
      <c r="L4" s="7">
        <v>10</v>
      </c>
      <c r="M4" s="7">
        <v>20</v>
      </c>
      <c r="N4" s="40" t="str">
        <f>IF(tbl_xbox[[#This Row],[Coupon Value]]=$L$3,"No","Yes")</f>
        <v>Yes</v>
      </c>
      <c r="O4" s="40" t="str">
        <f>IF(OR(tbl_xbox[[#This Row],[EA Play Season Pass]]="Yes",tbl_xbox[[#This Row],[Minecraft Season Pass]]="Yes"),"Yes","No")</f>
        <v>Yes</v>
      </c>
      <c r="P4" s="40">
        <f>tbl_xbox[[#This Row],[Subscription Price]]+tbl_xbox[[#This Row],[EA Play Season Pass
Price]]+tbl_xbox[[#This Row],[Minecraft Season Pass Price]]</f>
        <v>30</v>
      </c>
      <c r="Q4" s="41">
        <f>VLOOKUP(tbl_xbox[[#This Row],[Plan]],tbl_apoio5[#All],2,FALSE)</f>
        <v>1</v>
      </c>
      <c r="R4" s="41">
        <f>VLOOKUP(tbl_xbox[[#This Row],[EA Play Season Pass]],tbl_apoio5[[EA Play Season Pass]:[output2]],2,FALSE)</f>
        <v>0</v>
      </c>
      <c r="S4" s="41">
        <f>VLOOKUP(tbl_xbox[[#This Row],[Minecraft Season Pass]],tbl_apoio5[[Minecraft Season Pass]:[Minecraft Season Pass2]],2,FALSE)</f>
        <v>6</v>
      </c>
      <c r="T4" s="41">
        <f>SUM(tbl_xbox[[#This Row],[Plan2]:[Minecraft Season Pass2]])</f>
        <v>7</v>
      </c>
      <c r="U4" s="40" t="str">
        <f>VLOOKUP(tbl_xbox[[#This Row],[soma]],tbl_apoio5[[#All],[soma]:[output2]],2,FALSE)</f>
        <v>Minecraft</v>
      </c>
      <c r="V4" s="7"/>
    </row>
    <row r="5" spans="1:22" ht="16.5" customHeight="1" x14ac:dyDescent="0.2">
      <c r="A5" s="4">
        <v>3234</v>
      </c>
      <c r="B5" s="4" t="s">
        <v>20</v>
      </c>
      <c r="C5" s="4" t="s">
        <v>10</v>
      </c>
      <c r="D5" s="6">
        <v>45342</v>
      </c>
      <c r="E5" s="4" t="s">
        <v>15</v>
      </c>
      <c r="F5" s="7">
        <v>15</v>
      </c>
      <c r="G5" s="4" t="s">
        <v>12</v>
      </c>
      <c r="H5" s="4" t="s">
        <v>11</v>
      </c>
      <c r="I5" s="7">
        <v>30</v>
      </c>
      <c r="J5" s="4" t="s">
        <v>11</v>
      </c>
      <c r="K5" s="7">
        <v>20</v>
      </c>
      <c r="L5" s="7">
        <v>3</v>
      </c>
      <c r="M5" s="7">
        <v>62</v>
      </c>
      <c r="N5" s="40" t="str">
        <f>IF(tbl_xbox[[#This Row],[Coupon Value]]=$L$3,"No","Yes")</f>
        <v>Yes</v>
      </c>
      <c r="O5" s="40" t="str">
        <f>IF(OR(tbl_xbox[[#This Row],[EA Play Season Pass]]="Yes",tbl_xbox[[#This Row],[Minecraft Season Pass]]="Yes"),"Yes","No")</f>
        <v>Yes</v>
      </c>
      <c r="P5" s="40">
        <f>tbl_xbox[[#This Row],[Subscription Price]]+tbl_xbox[[#This Row],[EA Play Season Pass
Price]]+tbl_xbox[[#This Row],[Minecraft Season Pass Price]]</f>
        <v>65</v>
      </c>
      <c r="Q5" s="41">
        <f>VLOOKUP(tbl_xbox[[#This Row],[Plan]],tbl_apoio5[#All],2,FALSE)</f>
        <v>2</v>
      </c>
      <c r="R5" s="41">
        <f>VLOOKUP(tbl_xbox[[#This Row],[EA Play Season Pass]],tbl_apoio5[[EA Play Season Pass]:[output2]],2,FALSE)</f>
        <v>3</v>
      </c>
      <c r="S5" s="41">
        <f>VLOOKUP(tbl_xbox[[#This Row],[Minecraft Season Pass]],tbl_apoio5[[Minecraft Season Pass]:[Minecraft Season Pass2]],2,FALSE)</f>
        <v>6</v>
      </c>
      <c r="T5" s="41">
        <f>SUM(tbl_xbox[[#This Row],[Plan2]:[Minecraft Season Pass2]])</f>
        <v>11</v>
      </c>
      <c r="U5" s="40" t="str">
        <f>VLOOKUP(tbl_xbox[[#This Row],[soma]],tbl_apoio5[[#All],[soma]:[output2]],2,FALSE)</f>
        <v>EA Play + Minecraft</v>
      </c>
      <c r="V5" s="7"/>
    </row>
    <row r="6" spans="1:22" ht="16.5" customHeight="1" x14ac:dyDescent="0.2">
      <c r="A6" s="4">
        <v>3235</v>
      </c>
      <c r="B6" s="4" t="s">
        <v>21</v>
      </c>
      <c r="C6" s="4" t="s">
        <v>14</v>
      </c>
      <c r="D6" s="6">
        <v>45356</v>
      </c>
      <c r="E6" s="4" t="s">
        <v>11</v>
      </c>
      <c r="F6" s="7">
        <v>5</v>
      </c>
      <c r="G6" s="4" t="s">
        <v>12</v>
      </c>
      <c r="H6" s="4" t="s">
        <v>15</v>
      </c>
      <c r="I6" s="7">
        <v>0</v>
      </c>
      <c r="J6" s="4" t="s">
        <v>15</v>
      </c>
      <c r="K6" s="7">
        <v>0</v>
      </c>
      <c r="L6" s="7">
        <v>1</v>
      </c>
      <c r="M6" s="7">
        <v>4</v>
      </c>
      <c r="N6" s="40" t="str">
        <f>IF(tbl_xbox[[#This Row],[Coupon Value]]=$L$3,"No","Yes")</f>
        <v>Yes</v>
      </c>
      <c r="O6" s="40" t="str">
        <f>IF(OR(tbl_xbox[[#This Row],[EA Play Season Pass]]="Yes",tbl_xbox[[#This Row],[Minecraft Season Pass]]="Yes"),"Yes","No")</f>
        <v>No</v>
      </c>
      <c r="P6" s="40">
        <f>tbl_xbox[[#This Row],[Subscription Price]]+tbl_xbox[[#This Row],[EA Play Season Pass
Price]]+tbl_xbox[[#This Row],[Minecraft Season Pass Price]]</f>
        <v>5</v>
      </c>
      <c r="Q6" s="41">
        <f>VLOOKUP(tbl_xbox[[#This Row],[Plan]],tbl_apoio5[#All],2,FALSE)</f>
        <v>0</v>
      </c>
      <c r="R6" s="41">
        <f>VLOOKUP(tbl_xbox[[#This Row],[EA Play Season Pass]],tbl_apoio5[[EA Play Season Pass]:[output2]],2,FALSE)</f>
        <v>0</v>
      </c>
      <c r="S6" s="41">
        <f>VLOOKUP(tbl_xbox[[#This Row],[Minecraft Season Pass]],tbl_apoio5[[Minecraft Season Pass]:[Minecraft Season Pass2]],2,FALSE)</f>
        <v>0</v>
      </c>
      <c r="T6" s="41">
        <f>SUM(tbl_xbox[[#This Row],[Plan2]:[Minecraft Season Pass2]])</f>
        <v>0</v>
      </c>
      <c r="U6" s="40" t="str">
        <f>VLOOKUP(tbl_xbox[[#This Row],[soma]],tbl_apoio5[[#All],[soma]:[output2]],2,FALSE)</f>
        <v>No Extras</v>
      </c>
      <c r="V6" s="7"/>
    </row>
    <row r="7" spans="1:22" ht="16.5" customHeight="1" x14ac:dyDescent="0.2">
      <c r="A7" s="4">
        <v>3236</v>
      </c>
      <c r="B7" s="4" t="s">
        <v>26</v>
      </c>
      <c r="C7" s="4" t="s">
        <v>18</v>
      </c>
      <c r="D7" s="6">
        <v>45353</v>
      </c>
      <c r="E7" s="4" t="s">
        <v>15</v>
      </c>
      <c r="F7" s="7">
        <v>10</v>
      </c>
      <c r="G7" s="4" t="s">
        <v>12</v>
      </c>
      <c r="H7" s="4" t="s">
        <v>15</v>
      </c>
      <c r="I7" s="7">
        <v>0</v>
      </c>
      <c r="J7" s="4" t="s">
        <v>11</v>
      </c>
      <c r="K7" s="7">
        <v>20</v>
      </c>
      <c r="L7" s="7">
        <v>2</v>
      </c>
      <c r="M7" s="7">
        <v>28</v>
      </c>
      <c r="N7" s="40" t="str">
        <f>IF(tbl_xbox[[#This Row],[Coupon Value]]=$L$3,"No","Yes")</f>
        <v>Yes</v>
      </c>
      <c r="O7" s="40" t="str">
        <f>IF(OR(tbl_xbox[[#This Row],[EA Play Season Pass]]="Yes",tbl_xbox[[#This Row],[Minecraft Season Pass]]="Yes"),"Yes","No")</f>
        <v>Yes</v>
      </c>
      <c r="P7" s="40">
        <f>tbl_xbox[[#This Row],[Subscription Price]]+tbl_xbox[[#This Row],[EA Play Season Pass
Price]]+tbl_xbox[[#This Row],[Minecraft Season Pass Price]]</f>
        <v>30</v>
      </c>
      <c r="Q7" s="41">
        <f>VLOOKUP(tbl_xbox[[#This Row],[Plan]],tbl_apoio5[#All],2,FALSE)</f>
        <v>1</v>
      </c>
      <c r="R7" s="41">
        <f>VLOOKUP(tbl_xbox[[#This Row],[EA Play Season Pass]],tbl_apoio5[[EA Play Season Pass]:[output2]],2,FALSE)</f>
        <v>0</v>
      </c>
      <c r="S7" s="41">
        <f>VLOOKUP(tbl_xbox[[#This Row],[Minecraft Season Pass]],tbl_apoio5[[Minecraft Season Pass]:[Minecraft Season Pass2]],2,FALSE)</f>
        <v>6</v>
      </c>
      <c r="T7" s="41">
        <f>SUM(tbl_xbox[[#This Row],[Plan2]:[Minecraft Season Pass2]])</f>
        <v>7</v>
      </c>
      <c r="U7" s="40" t="str">
        <f>VLOOKUP(tbl_xbox[[#This Row],[soma]],tbl_apoio5[[#All],[soma]:[output2]],2,FALSE)</f>
        <v>Minecraft</v>
      </c>
      <c r="V7" s="7"/>
    </row>
    <row r="8" spans="1:22" ht="16.5" customHeight="1" x14ac:dyDescent="0.2">
      <c r="A8" s="4">
        <v>3237</v>
      </c>
      <c r="B8" s="4" t="s">
        <v>27</v>
      </c>
      <c r="C8" s="4" t="s">
        <v>10</v>
      </c>
      <c r="D8" s="6">
        <v>45354</v>
      </c>
      <c r="E8" s="4" t="s">
        <v>11</v>
      </c>
      <c r="F8" s="7">
        <v>15</v>
      </c>
      <c r="G8" s="4" t="s">
        <v>19</v>
      </c>
      <c r="H8" s="4" t="s">
        <v>11</v>
      </c>
      <c r="I8" s="7">
        <v>30</v>
      </c>
      <c r="J8" s="4" t="s">
        <v>11</v>
      </c>
      <c r="K8" s="7">
        <v>20</v>
      </c>
      <c r="L8" s="7">
        <v>10</v>
      </c>
      <c r="M8" s="7">
        <v>55</v>
      </c>
      <c r="N8" s="40" t="str">
        <f>IF(tbl_xbox[[#This Row],[Coupon Value]]=$L$3,"No","Yes")</f>
        <v>Yes</v>
      </c>
      <c r="O8" s="40" t="str">
        <f>IF(OR(tbl_xbox[[#This Row],[EA Play Season Pass]]="Yes",tbl_xbox[[#This Row],[Minecraft Season Pass]]="Yes"),"Yes","No")</f>
        <v>Yes</v>
      </c>
      <c r="P8" s="40">
        <f>tbl_xbox[[#This Row],[Subscription Price]]+tbl_xbox[[#This Row],[EA Play Season Pass
Price]]+tbl_xbox[[#This Row],[Minecraft Season Pass Price]]</f>
        <v>65</v>
      </c>
      <c r="Q8" s="41">
        <f>VLOOKUP(tbl_xbox[[#This Row],[Plan]],tbl_apoio5[#All],2,FALSE)</f>
        <v>2</v>
      </c>
      <c r="R8" s="41">
        <f>VLOOKUP(tbl_xbox[[#This Row],[EA Play Season Pass]],tbl_apoio5[[EA Play Season Pass]:[output2]],2,FALSE)</f>
        <v>3</v>
      </c>
      <c r="S8" s="41">
        <f>VLOOKUP(tbl_xbox[[#This Row],[Minecraft Season Pass]],tbl_apoio5[[Minecraft Season Pass]:[Minecraft Season Pass2]],2,FALSE)</f>
        <v>6</v>
      </c>
      <c r="T8" s="41">
        <f>SUM(tbl_xbox[[#This Row],[Plan2]:[Minecraft Season Pass2]])</f>
        <v>11</v>
      </c>
      <c r="U8" s="40" t="str">
        <f>VLOOKUP(tbl_xbox[[#This Row],[soma]],tbl_apoio5[[#All],[soma]:[output2]],2,FALSE)</f>
        <v>EA Play + Minecraft</v>
      </c>
      <c r="V8" s="7"/>
    </row>
    <row r="9" spans="1:22" ht="16.5" customHeight="1" x14ac:dyDescent="0.2">
      <c r="A9" s="4">
        <v>3238</v>
      </c>
      <c r="B9" s="4" t="s">
        <v>28</v>
      </c>
      <c r="C9" s="4" t="s">
        <v>14</v>
      </c>
      <c r="D9" s="6">
        <v>45355</v>
      </c>
      <c r="E9" s="4" t="s">
        <v>11</v>
      </c>
      <c r="F9" s="7">
        <v>5</v>
      </c>
      <c r="G9" s="4" t="s">
        <v>16</v>
      </c>
      <c r="H9" s="4" t="s">
        <v>15</v>
      </c>
      <c r="I9" s="7">
        <v>0</v>
      </c>
      <c r="J9" s="4" t="s">
        <v>15</v>
      </c>
      <c r="K9" s="7">
        <v>0</v>
      </c>
      <c r="L9" s="7">
        <v>0</v>
      </c>
      <c r="M9" s="7">
        <v>5</v>
      </c>
      <c r="N9" s="40" t="str">
        <f>IF(tbl_xbox[[#This Row],[Coupon Value]]=$L$3,"No","Yes")</f>
        <v>No</v>
      </c>
      <c r="O9" s="40" t="str">
        <f>IF(OR(tbl_xbox[[#This Row],[EA Play Season Pass]]="Yes",tbl_xbox[[#This Row],[Minecraft Season Pass]]="Yes"),"Yes","No")</f>
        <v>No</v>
      </c>
      <c r="P9" s="40">
        <f>tbl_xbox[[#This Row],[Subscription Price]]+tbl_xbox[[#This Row],[EA Play Season Pass
Price]]+tbl_xbox[[#This Row],[Minecraft Season Pass Price]]</f>
        <v>5</v>
      </c>
      <c r="Q9" s="41">
        <f>VLOOKUP(tbl_xbox[[#This Row],[Plan]],tbl_apoio5[#All],2,FALSE)</f>
        <v>0</v>
      </c>
      <c r="R9" s="41">
        <f>VLOOKUP(tbl_xbox[[#This Row],[EA Play Season Pass]],tbl_apoio5[[EA Play Season Pass]:[output2]],2,FALSE)</f>
        <v>0</v>
      </c>
      <c r="S9" s="41">
        <f>VLOOKUP(tbl_xbox[[#This Row],[Minecraft Season Pass]],tbl_apoio5[[Minecraft Season Pass]:[Minecraft Season Pass2]],2,FALSE)</f>
        <v>0</v>
      </c>
      <c r="T9" s="41">
        <f>SUM(tbl_xbox[[#This Row],[Plan2]:[Minecraft Season Pass2]])</f>
        <v>0</v>
      </c>
      <c r="U9" s="40" t="str">
        <f>VLOOKUP(tbl_xbox[[#This Row],[soma]],tbl_apoio5[[#All],[soma]:[output2]],2,FALSE)</f>
        <v>No Extras</v>
      </c>
      <c r="V9" s="7"/>
    </row>
    <row r="10" spans="1:22" ht="16.5" customHeight="1" x14ac:dyDescent="0.2">
      <c r="A10" s="4">
        <v>3239</v>
      </c>
      <c r="B10" s="4" t="s">
        <v>29</v>
      </c>
      <c r="C10" s="4" t="s">
        <v>10</v>
      </c>
      <c r="D10" s="6">
        <v>45356</v>
      </c>
      <c r="E10" s="4" t="s">
        <v>15</v>
      </c>
      <c r="F10" s="7">
        <v>15</v>
      </c>
      <c r="G10" s="4" t="s">
        <v>12</v>
      </c>
      <c r="H10" s="4" t="s">
        <v>11</v>
      </c>
      <c r="I10" s="7">
        <v>30</v>
      </c>
      <c r="J10" s="4" t="s">
        <v>11</v>
      </c>
      <c r="K10" s="7">
        <v>20</v>
      </c>
      <c r="L10" s="7">
        <v>5</v>
      </c>
      <c r="M10" s="7">
        <v>60</v>
      </c>
      <c r="N10" s="40" t="str">
        <f>IF(tbl_xbox[[#This Row],[Coupon Value]]=$L$3,"No","Yes")</f>
        <v>Yes</v>
      </c>
      <c r="O10" s="40" t="str">
        <f>IF(OR(tbl_xbox[[#This Row],[EA Play Season Pass]]="Yes",tbl_xbox[[#This Row],[Minecraft Season Pass]]="Yes"),"Yes","No")</f>
        <v>Yes</v>
      </c>
      <c r="P10" s="40">
        <f>tbl_xbox[[#This Row],[Subscription Price]]+tbl_xbox[[#This Row],[EA Play Season Pass
Price]]+tbl_xbox[[#This Row],[Minecraft Season Pass Price]]</f>
        <v>65</v>
      </c>
      <c r="Q10" s="41">
        <f>VLOOKUP(tbl_xbox[[#This Row],[Plan]],tbl_apoio5[#All],2,FALSE)</f>
        <v>2</v>
      </c>
      <c r="R10" s="41">
        <f>VLOOKUP(tbl_xbox[[#This Row],[EA Play Season Pass]],tbl_apoio5[[EA Play Season Pass]:[output2]],2,FALSE)</f>
        <v>3</v>
      </c>
      <c r="S10" s="41">
        <f>VLOOKUP(tbl_xbox[[#This Row],[Minecraft Season Pass]],tbl_apoio5[[Minecraft Season Pass]:[Minecraft Season Pass2]],2,FALSE)</f>
        <v>6</v>
      </c>
      <c r="T10" s="41">
        <f>SUM(tbl_xbox[[#This Row],[Plan2]:[Minecraft Season Pass2]])</f>
        <v>11</v>
      </c>
      <c r="U10" s="40" t="str">
        <f>VLOOKUP(tbl_xbox[[#This Row],[soma]],tbl_apoio5[[#All],[soma]:[output2]],2,FALSE)</f>
        <v>EA Play + Minecraft</v>
      </c>
      <c r="V10" s="7"/>
    </row>
    <row r="11" spans="1:22" ht="16.5" customHeight="1" x14ac:dyDescent="0.2">
      <c r="A11" s="4">
        <v>3240</v>
      </c>
      <c r="B11" s="4" t="s">
        <v>30</v>
      </c>
      <c r="C11" s="4" t="s">
        <v>18</v>
      </c>
      <c r="D11" s="6">
        <v>45357</v>
      </c>
      <c r="E11" s="4" t="s">
        <v>11</v>
      </c>
      <c r="F11" s="7">
        <v>10</v>
      </c>
      <c r="G11" s="4" t="s">
        <v>19</v>
      </c>
      <c r="H11" s="4" t="s">
        <v>15</v>
      </c>
      <c r="I11" s="7">
        <v>0</v>
      </c>
      <c r="J11" s="4" t="s">
        <v>11</v>
      </c>
      <c r="K11" s="7">
        <v>20</v>
      </c>
      <c r="L11" s="7">
        <v>15</v>
      </c>
      <c r="M11" s="7">
        <v>15</v>
      </c>
      <c r="N11" s="40" t="str">
        <f>IF(tbl_xbox[[#This Row],[Coupon Value]]=$L$3,"No","Yes")</f>
        <v>Yes</v>
      </c>
      <c r="O11" s="40" t="str">
        <f>IF(OR(tbl_xbox[[#This Row],[EA Play Season Pass]]="Yes",tbl_xbox[[#This Row],[Minecraft Season Pass]]="Yes"),"Yes","No")</f>
        <v>Yes</v>
      </c>
      <c r="P11" s="40">
        <f>tbl_xbox[[#This Row],[Subscription Price]]+tbl_xbox[[#This Row],[EA Play Season Pass
Price]]+tbl_xbox[[#This Row],[Minecraft Season Pass Price]]</f>
        <v>30</v>
      </c>
      <c r="Q11" s="41">
        <f>VLOOKUP(tbl_xbox[[#This Row],[Plan]],tbl_apoio5[#All],2,FALSE)</f>
        <v>1</v>
      </c>
      <c r="R11" s="41">
        <f>VLOOKUP(tbl_xbox[[#This Row],[EA Play Season Pass]],tbl_apoio5[[EA Play Season Pass]:[output2]],2,FALSE)</f>
        <v>0</v>
      </c>
      <c r="S11" s="41">
        <f>VLOOKUP(tbl_xbox[[#This Row],[Minecraft Season Pass]],tbl_apoio5[[Minecraft Season Pass]:[Minecraft Season Pass2]],2,FALSE)</f>
        <v>6</v>
      </c>
      <c r="T11" s="41">
        <f>SUM(tbl_xbox[[#This Row],[Plan2]:[Minecraft Season Pass2]])</f>
        <v>7</v>
      </c>
      <c r="U11" s="40" t="str">
        <f>VLOOKUP(tbl_xbox[[#This Row],[soma]],tbl_apoio5[[#All],[soma]:[output2]],2,FALSE)</f>
        <v>Minecraft</v>
      </c>
      <c r="V11" s="7"/>
    </row>
    <row r="12" spans="1:22" ht="16.5" customHeight="1" x14ac:dyDescent="0.2">
      <c r="A12" s="4">
        <v>3241</v>
      </c>
      <c r="B12" s="4" t="s">
        <v>31</v>
      </c>
      <c r="C12" s="4" t="s">
        <v>14</v>
      </c>
      <c r="D12" s="6">
        <v>45358</v>
      </c>
      <c r="E12" s="4" t="s">
        <v>15</v>
      </c>
      <c r="F12" s="7">
        <v>5</v>
      </c>
      <c r="G12" s="4" t="s">
        <v>12</v>
      </c>
      <c r="H12" s="4" t="s">
        <v>15</v>
      </c>
      <c r="I12" s="7">
        <v>0</v>
      </c>
      <c r="J12" s="4" t="s">
        <v>15</v>
      </c>
      <c r="K12" s="7">
        <v>0</v>
      </c>
      <c r="L12" s="7">
        <v>1</v>
      </c>
      <c r="M12" s="7">
        <v>4</v>
      </c>
      <c r="N12" s="40" t="str">
        <f>IF(tbl_xbox[[#This Row],[Coupon Value]]=$L$3,"No","Yes")</f>
        <v>Yes</v>
      </c>
      <c r="O12" s="40" t="str">
        <f>IF(OR(tbl_xbox[[#This Row],[EA Play Season Pass]]="Yes",tbl_xbox[[#This Row],[Minecraft Season Pass]]="Yes"),"Yes","No")</f>
        <v>No</v>
      </c>
      <c r="P12" s="40">
        <f>tbl_xbox[[#This Row],[Subscription Price]]+tbl_xbox[[#This Row],[EA Play Season Pass
Price]]+tbl_xbox[[#This Row],[Minecraft Season Pass Price]]</f>
        <v>5</v>
      </c>
      <c r="Q12" s="41">
        <f>VLOOKUP(tbl_xbox[[#This Row],[Plan]],tbl_apoio5[#All],2,FALSE)</f>
        <v>0</v>
      </c>
      <c r="R12" s="41">
        <f>VLOOKUP(tbl_xbox[[#This Row],[EA Play Season Pass]],tbl_apoio5[[EA Play Season Pass]:[output2]],2,FALSE)</f>
        <v>0</v>
      </c>
      <c r="S12" s="41">
        <f>VLOOKUP(tbl_xbox[[#This Row],[Minecraft Season Pass]],tbl_apoio5[[Minecraft Season Pass]:[Minecraft Season Pass2]],2,FALSE)</f>
        <v>0</v>
      </c>
      <c r="T12" s="41">
        <f>SUM(tbl_xbox[[#This Row],[Plan2]:[Minecraft Season Pass2]])</f>
        <v>0</v>
      </c>
      <c r="U12" s="40" t="str">
        <f>VLOOKUP(tbl_xbox[[#This Row],[soma]],tbl_apoio5[[#All],[soma]:[output2]],2,FALSE)</f>
        <v>No Extras</v>
      </c>
      <c r="V12" s="7"/>
    </row>
    <row r="13" spans="1:22" ht="16.5" customHeight="1" x14ac:dyDescent="0.2">
      <c r="A13" s="4">
        <v>3242</v>
      </c>
      <c r="B13" s="4" t="s">
        <v>32</v>
      </c>
      <c r="C13" s="4" t="s">
        <v>10</v>
      </c>
      <c r="D13" s="6">
        <v>45359</v>
      </c>
      <c r="E13" s="4" t="s">
        <v>11</v>
      </c>
      <c r="F13" s="7">
        <v>15</v>
      </c>
      <c r="G13" s="4" t="s">
        <v>16</v>
      </c>
      <c r="H13" s="4" t="s">
        <v>11</v>
      </c>
      <c r="I13" s="7">
        <v>30</v>
      </c>
      <c r="J13" s="4" t="s">
        <v>11</v>
      </c>
      <c r="K13" s="7">
        <v>20</v>
      </c>
      <c r="L13" s="7">
        <v>20</v>
      </c>
      <c r="M13" s="7">
        <v>45</v>
      </c>
      <c r="N13" s="40" t="str">
        <f>IF(tbl_xbox[[#This Row],[Coupon Value]]=$L$3,"No","Yes")</f>
        <v>Yes</v>
      </c>
      <c r="O13" s="40" t="str">
        <f>IF(OR(tbl_xbox[[#This Row],[EA Play Season Pass]]="Yes",tbl_xbox[[#This Row],[Minecraft Season Pass]]="Yes"),"Yes","No")</f>
        <v>Yes</v>
      </c>
      <c r="P13" s="40">
        <f>tbl_xbox[[#This Row],[Subscription Price]]+tbl_xbox[[#This Row],[EA Play Season Pass
Price]]+tbl_xbox[[#This Row],[Minecraft Season Pass Price]]</f>
        <v>65</v>
      </c>
      <c r="Q13" s="41">
        <f>VLOOKUP(tbl_xbox[[#This Row],[Plan]],tbl_apoio5[#All],2,FALSE)</f>
        <v>2</v>
      </c>
      <c r="R13" s="41">
        <f>VLOOKUP(tbl_xbox[[#This Row],[EA Play Season Pass]],tbl_apoio5[[EA Play Season Pass]:[output2]],2,FALSE)</f>
        <v>3</v>
      </c>
      <c r="S13" s="41">
        <f>VLOOKUP(tbl_xbox[[#This Row],[Minecraft Season Pass]],tbl_apoio5[[Minecraft Season Pass]:[Minecraft Season Pass2]],2,FALSE)</f>
        <v>6</v>
      </c>
      <c r="T13" s="41">
        <f>SUM(tbl_xbox[[#This Row],[Plan2]:[Minecraft Season Pass2]])</f>
        <v>11</v>
      </c>
      <c r="U13" s="40" t="str">
        <f>VLOOKUP(tbl_xbox[[#This Row],[soma]],tbl_apoio5[[#All],[soma]:[output2]],2,FALSE)</f>
        <v>EA Play + Minecraft</v>
      </c>
      <c r="V13" s="7"/>
    </row>
    <row r="14" spans="1:22" ht="16.5" customHeight="1" x14ac:dyDescent="0.2">
      <c r="A14" s="4">
        <v>3243</v>
      </c>
      <c r="B14" s="4" t="s">
        <v>33</v>
      </c>
      <c r="C14" s="4" t="s">
        <v>18</v>
      </c>
      <c r="D14" s="6">
        <v>45360</v>
      </c>
      <c r="E14" s="4" t="s">
        <v>15</v>
      </c>
      <c r="F14" s="7">
        <v>10</v>
      </c>
      <c r="G14" s="4" t="s">
        <v>12</v>
      </c>
      <c r="H14" s="4" t="s">
        <v>15</v>
      </c>
      <c r="I14" s="7">
        <v>0</v>
      </c>
      <c r="J14" s="4" t="s">
        <v>11</v>
      </c>
      <c r="K14" s="7">
        <v>20</v>
      </c>
      <c r="L14" s="7">
        <v>10</v>
      </c>
      <c r="M14" s="7">
        <v>20</v>
      </c>
      <c r="N14" s="40" t="str">
        <f>IF(tbl_xbox[[#This Row],[Coupon Value]]=$L$3,"No","Yes")</f>
        <v>Yes</v>
      </c>
      <c r="O14" s="40" t="str">
        <f>IF(OR(tbl_xbox[[#This Row],[EA Play Season Pass]]="Yes",tbl_xbox[[#This Row],[Minecraft Season Pass]]="Yes"),"Yes","No")</f>
        <v>Yes</v>
      </c>
      <c r="P14" s="40">
        <f>tbl_xbox[[#This Row],[Subscription Price]]+tbl_xbox[[#This Row],[EA Play Season Pass
Price]]+tbl_xbox[[#This Row],[Minecraft Season Pass Price]]</f>
        <v>30</v>
      </c>
      <c r="Q14" s="41">
        <f>VLOOKUP(tbl_xbox[[#This Row],[Plan]],tbl_apoio5[#All],2,FALSE)</f>
        <v>1</v>
      </c>
      <c r="R14" s="41">
        <f>VLOOKUP(tbl_xbox[[#This Row],[EA Play Season Pass]],tbl_apoio5[[EA Play Season Pass]:[output2]],2,FALSE)</f>
        <v>0</v>
      </c>
      <c r="S14" s="41">
        <f>VLOOKUP(tbl_xbox[[#This Row],[Minecraft Season Pass]],tbl_apoio5[[Minecraft Season Pass]:[Minecraft Season Pass2]],2,FALSE)</f>
        <v>6</v>
      </c>
      <c r="T14" s="41">
        <f>SUM(tbl_xbox[[#This Row],[Plan2]:[Minecraft Season Pass2]])</f>
        <v>7</v>
      </c>
      <c r="U14" s="40" t="str">
        <f>VLOOKUP(tbl_xbox[[#This Row],[soma]],tbl_apoio5[[#All],[soma]:[output2]],2,FALSE)</f>
        <v>Minecraft</v>
      </c>
      <c r="V14" s="7"/>
    </row>
    <row r="15" spans="1:22" ht="16.5" customHeight="1" x14ac:dyDescent="0.2">
      <c r="A15" s="4">
        <v>3244</v>
      </c>
      <c r="B15" s="4" t="s">
        <v>34</v>
      </c>
      <c r="C15" s="4" t="s">
        <v>14</v>
      </c>
      <c r="D15" s="6">
        <v>45361</v>
      </c>
      <c r="E15" s="4" t="s">
        <v>11</v>
      </c>
      <c r="F15" s="7">
        <v>5</v>
      </c>
      <c r="G15" s="4" t="s">
        <v>19</v>
      </c>
      <c r="H15" s="4" t="s">
        <v>15</v>
      </c>
      <c r="I15" s="7">
        <v>0</v>
      </c>
      <c r="J15" s="4" t="s">
        <v>15</v>
      </c>
      <c r="K15" s="7">
        <v>0</v>
      </c>
      <c r="L15" s="7">
        <v>0</v>
      </c>
      <c r="M15" s="7">
        <v>5</v>
      </c>
      <c r="N15" s="40" t="str">
        <f>IF(tbl_xbox[[#This Row],[Coupon Value]]=$L$3,"No","Yes")</f>
        <v>No</v>
      </c>
      <c r="O15" s="40" t="str">
        <f>IF(OR(tbl_xbox[[#This Row],[EA Play Season Pass]]="Yes",tbl_xbox[[#This Row],[Minecraft Season Pass]]="Yes"),"Yes","No")</f>
        <v>No</v>
      </c>
      <c r="P15" s="40">
        <f>tbl_xbox[[#This Row],[Subscription Price]]+tbl_xbox[[#This Row],[EA Play Season Pass
Price]]+tbl_xbox[[#This Row],[Minecraft Season Pass Price]]</f>
        <v>5</v>
      </c>
      <c r="Q15" s="41">
        <f>VLOOKUP(tbl_xbox[[#This Row],[Plan]],tbl_apoio5[#All],2,FALSE)</f>
        <v>0</v>
      </c>
      <c r="R15" s="41">
        <f>VLOOKUP(tbl_xbox[[#This Row],[EA Play Season Pass]],tbl_apoio5[[EA Play Season Pass]:[output2]],2,FALSE)</f>
        <v>0</v>
      </c>
      <c r="S15" s="41">
        <f>VLOOKUP(tbl_xbox[[#This Row],[Minecraft Season Pass]],tbl_apoio5[[Minecraft Season Pass]:[Minecraft Season Pass2]],2,FALSE)</f>
        <v>0</v>
      </c>
      <c r="T15" s="41">
        <f>SUM(tbl_xbox[[#This Row],[Plan2]:[Minecraft Season Pass2]])</f>
        <v>0</v>
      </c>
      <c r="U15" s="40" t="str">
        <f>VLOOKUP(tbl_xbox[[#This Row],[soma]],tbl_apoio5[[#All],[soma]:[output2]],2,FALSE)</f>
        <v>No Extras</v>
      </c>
      <c r="V15" s="7"/>
    </row>
    <row r="16" spans="1:22" ht="16.5" customHeight="1" x14ac:dyDescent="0.2">
      <c r="A16" s="4">
        <v>3245</v>
      </c>
      <c r="B16" s="4" t="s">
        <v>35</v>
      </c>
      <c r="C16" s="4" t="s">
        <v>10</v>
      </c>
      <c r="D16" s="6">
        <v>45362</v>
      </c>
      <c r="E16" s="4" t="s">
        <v>15</v>
      </c>
      <c r="F16" s="7">
        <v>15</v>
      </c>
      <c r="G16" s="4" t="s">
        <v>12</v>
      </c>
      <c r="H16" s="4" t="s">
        <v>11</v>
      </c>
      <c r="I16" s="7">
        <v>30</v>
      </c>
      <c r="J16" s="4" t="s">
        <v>11</v>
      </c>
      <c r="K16" s="7">
        <v>20</v>
      </c>
      <c r="L16" s="7">
        <v>8</v>
      </c>
      <c r="M16" s="7">
        <v>57</v>
      </c>
      <c r="N16" s="40" t="str">
        <f>IF(tbl_xbox[[#This Row],[Coupon Value]]=$L$3,"No","Yes")</f>
        <v>Yes</v>
      </c>
      <c r="O16" s="40" t="str">
        <f>IF(OR(tbl_xbox[[#This Row],[EA Play Season Pass]]="Yes",tbl_xbox[[#This Row],[Minecraft Season Pass]]="Yes"),"Yes","No")</f>
        <v>Yes</v>
      </c>
      <c r="P16" s="40">
        <f>tbl_xbox[[#This Row],[Subscription Price]]+tbl_xbox[[#This Row],[EA Play Season Pass
Price]]+tbl_xbox[[#This Row],[Minecraft Season Pass Price]]</f>
        <v>65</v>
      </c>
      <c r="Q16" s="41">
        <f>VLOOKUP(tbl_xbox[[#This Row],[Plan]],tbl_apoio5[#All],2,FALSE)</f>
        <v>2</v>
      </c>
      <c r="R16" s="41">
        <f>VLOOKUP(tbl_xbox[[#This Row],[EA Play Season Pass]],tbl_apoio5[[EA Play Season Pass]:[output2]],2,FALSE)</f>
        <v>3</v>
      </c>
      <c r="S16" s="41">
        <f>VLOOKUP(tbl_xbox[[#This Row],[Minecraft Season Pass]],tbl_apoio5[[Minecraft Season Pass]:[Minecraft Season Pass2]],2,FALSE)</f>
        <v>6</v>
      </c>
      <c r="T16" s="41">
        <f>SUM(tbl_xbox[[#This Row],[Plan2]:[Minecraft Season Pass2]])</f>
        <v>11</v>
      </c>
      <c r="U16" s="40" t="str">
        <f>VLOOKUP(tbl_xbox[[#This Row],[soma]],tbl_apoio5[[#All],[soma]:[output2]],2,FALSE)</f>
        <v>EA Play + Minecraft</v>
      </c>
      <c r="V16" s="7"/>
    </row>
    <row r="17" spans="1:22" ht="16.5" customHeight="1" x14ac:dyDescent="0.2">
      <c r="A17" s="4">
        <v>3246</v>
      </c>
      <c r="B17" s="4" t="s">
        <v>36</v>
      </c>
      <c r="C17" s="4" t="s">
        <v>18</v>
      </c>
      <c r="D17" s="6">
        <v>45363</v>
      </c>
      <c r="E17" s="4" t="s">
        <v>11</v>
      </c>
      <c r="F17" s="7">
        <v>10</v>
      </c>
      <c r="G17" s="4" t="s">
        <v>16</v>
      </c>
      <c r="H17" s="4" t="s">
        <v>15</v>
      </c>
      <c r="I17" s="7">
        <v>0</v>
      </c>
      <c r="J17" s="4" t="s">
        <v>11</v>
      </c>
      <c r="K17" s="7">
        <v>20</v>
      </c>
      <c r="L17" s="7">
        <v>12</v>
      </c>
      <c r="M17" s="7">
        <v>18</v>
      </c>
      <c r="N17" s="40" t="str">
        <f>IF(tbl_xbox[[#This Row],[Coupon Value]]=$L$3,"No","Yes")</f>
        <v>Yes</v>
      </c>
      <c r="O17" s="40" t="str">
        <f>IF(OR(tbl_xbox[[#This Row],[EA Play Season Pass]]="Yes",tbl_xbox[[#This Row],[Minecraft Season Pass]]="Yes"),"Yes","No")</f>
        <v>Yes</v>
      </c>
      <c r="P17" s="40">
        <f>tbl_xbox[[#This Row],[Subscription Price]]+tbl_xbox[[#This Row],[EA Play Season Pass
Price]]+tbl_xbox[[#This Row],[Minecraft Season Pass Price]]</f>
        <v>30</v>
      </c>
      <c r="Q17" s="41">
        <f>VLOOKUP(tbl_xbox[[#This Row],[Plan]],tbl_apoio5[#All],2,FALSE)</f>
        <v>1</v>
      </c>
      <c r="R17" s="41">
        <f>VLOOKUP(tbl_xbox[[#This Row],[EA Play Season Pass]],tbl_apoio5[[EA Play Season Pass]:[output2]],2,FALSE)</f>
        <v>0</v>
      </c>
      <c r="S17" s="41">
        <f>VLOOKUP(tbl_xbox[[#This Row],[Minecraft Season Pass]],tbl_apoio5[[Minecraft Season Pass]:[Minecraft Season Pass2]],2,FALSE)</f>
        <v>6</v>
      </c>
      <c r="T17" s="41">
        <f>SUM(tbl_xbox[[#This Row],[Plan2]:[Minecraft Season Pass2]])</f>
        <v>7</v>
      </c>
      <c r="U17" s="40" t="str">
        <f>VLOOKUP(tbl_xbox[[#This Row],[soma]],tbl_apoio5[[#All],[soma]:[output2]],2,FALSE)</f>
        <v>Minecraft</v>
      </c>
      <c r="V17" s="7"/>
    </row>
    <row r="18" spans="1:22" ht="16.5" customHeight="1" x14ac:dyDescent="0.2">
      <c r="A18" s="4">
        <v>3247</v>
      </c>
      <c r="B18" s="4" t="s">
        <v>37</v>
      </c>
      <c r="C18" s="4" t="s">
        <v>14</v>
      </c>
      <c r="D18" s="6">
        <v>45364</v>
      </c>
      <c r="E18" s="4" t="s">
        <v>15</v>
      </c>
      <c r="F18" s="7">
        <v>5</v>
      </c>
      <c r="G18" s="4" t="s">
        <v>12</v>
      </c>
      <c r="H18" s="4" t="s">
        <v>15</v>
      </c>
      <c r="I18" s="7">
        <v>0</v>
      </c>
      <c r="J18" s="4" t="s">
        <v>15</v>
      </c>
      <c r="K18" s="7">
        <v>0</v>
      </c>
      <c r="L18" s="7">
        <v>2</v>
      </c>
      <c r="M18" s="7">
        <v>3</v>
      </c>
      <c r="N18" s="40" t="str">
        <f>IF(tbl_xbox[[#This Row],[Coupon Value]]=$L$3,"No","Yes")</f>
        <v>Yes</v>
      </c>
      <c r="O18" s="40" t="str">
        <f>IF(OR(tbl_xbox[[#This Row],[EA Play Season Pass]]="Yes",tbl_xbox[[#This Row],[Minecraft Season Pass]]="Yes"),"Yes","No")</f>
        <v>No</v>
      </c>
      <c r="P18" s="40">
        <f>tbl_xbox[[#This Row],[Subscription Price]]+tbl_xbox[[#This Row],[EA Play Season Pass
Price]]+tbl_xbox[[#This Row],[Minecraft Season Pass Price]]</f>
        <v>5</v>
      </c>
      <c r="Q18" s="41">
        <f>VLOOKUP(tbl_xbox[[#This Row],[Plan]],tbl_apoio5[#All],2,FALSE)</f>
        <v>0</v>
      </c>
      <c r="R18" s="41">
        <f>VLOOKUP(tbl_xbox[[#This Row],[EA Play Season Pass]],tbl_apoio5[[EA Play Season Pass]:[output2]],2,FALSE)</f>
        <v>0</v>
      </c>
      <c r="S18" s="41">
        <f>VLOOKUP(tbl_xbox[[#This Row],[Minecraft Season Pass]],tbl_apoio5[[Minecraft Season Pass]:[Minecraft Season Pass2]],2,FALSE)</f>
        <v>0</v>
      </c>
      <c r="T18" s="41">
        <f>SUM(tbl_xbox[[#This Row],[Plan2]:[Minecraft Season Pass2]])</f>
        <v>0</v>
      </c>
      <c r="U18" s="40" t="str">
        <f>VLOOKUP(tbl_xbox[[#This Row],[soma]],tbl_apoio5[[#All],[soma]:[output2]],2,FALSE)</f>
        <v>No Extras</v>
      </c>
      <c r="V18" s="7"/>
    </row>
    <row r="19" spans="1:22" ht="16.5" customHeight="1" x14ac:dyDescent="0.2">
      <c r="A19" s="4">
        <v>3248</v>
      </c>
      <c r="B19" s="4" t="s">
        <v>38</v>
      </c>
      <c r="C19" s="4" t="s">
        <v>10</v>
      </c>
      <c r="D19" s="6">
        <v>45365</v>
      </c>
      <c r="E19" s="4" t="s">
        <v>11</v>
      </c>
      <c r="F19" s="7">
        <v>15</v>
      </c>
      <c r="G19" s="4" t="s">
        <v>19</v>
      </c>
      <c r="H19" s="4" t="s">
        <v>11</v>
      </c>
      <c r="I19" s="7">
        <v>30</v>
      </c>
      <c r="J19" s="4" t="s">
        <v>11</v>
      </c>
      <c r="K19" s="7">
        <v>20</v>
      </c>
      <c r="L19" s="7">
        <v>7</v>
      </c>
      <c r="M19" s="7">
        <v>58</v>
      </c>
      <c r="N19" s="40" t="str">
        <f>IF(tbl_xbox[[#This Row],[Coupon Value]]=$L$3,"No","Yes")</f>
        <v>Yes</v>
      </c>
      <c r="O19" s="40" t="str">
        <f>IF(OR(tbl_xbox[[#This Row],[EA Play Season Pass]]="Yes",tbl_xbox[[#This Row],[Minecraft Season Pass]]="Yes"),"Yes","No")</f>
        <v>Yes</v>
      </c>
      <c r="P19" s="40">
        <f>tbl_xbox[[#This Row],[Subscription Price]]+tbl_xbox[[#This Row],[EA Play Season Pass
Price]]+tbl_xbox[[#This Row],[Minecraft Season Pass Price]]</f>
        <v>65</v>
      </c>
      <c r="Q19" s="41">
        <f>VLOOKUP(tbl_xbox[[#This Row],[Plan]],tbl_apoio5[#All],2,FALSE)</f>
        <v>2</v>
      </c>
      <c r="R19" s="41">
        <f>VLOOKUP(tbl_xbox[[#This Row],[EA Play Season Pass]],tbl_apoio5[[EA Play Season Pass]:[output2]],2,FALSE)</f>
        <v>3</v>
      </c>
      <c r="S19" s="41">
        <f>VLOOKUP(tbl_xbox[[#This Row],[Minecraft Season Pass]],tbl_apoio5[[Minecraft Season Pass]:[Minecraft Season Pass2]],2,FALSE)</f>
        <v>6</v>
      </c>
      <c r="T19" s="41">
        <f>SUM(tbl_xbox[[#This Row],[Plan2]:[Minecraft Season Pass2]])</f>
        <v>11</v>
      </c>
      <c r="U19" s="40" t="str">
        <f>VLOOKUP(tbl_xbox[[#This Row],[soma]],tbl_apoio5[[#All],[soma]:[output2]],2,FALSE)</f>
        <v>EA Play + Minecraft</v>
      </c>
      <c r="V19" s="7"/>
    </row>
    <row r="20" spans="1:22" ht="16.5" customHeight="1" x14ac:dyDescent="0.2">
      <c r="A20" s="4">
        <v>3249</v>
      </c>
      <c r="B20" s="4" t="s">
        <v>39</v>
      </c>
      <c r="C20" s="4" t="s">
        <v>18</v>
      </c>
      <c r="D20" s="6">
        <v>45366</v>
      </c>
      <c r="E20" s="4" t="s">
        <v>15</v>
      </c>
      <c r="F20" s="7">
        <v>10</v>
      </c>
      <c r="G20" s="4" t="s">
        <v>12</v>
      </c>
      <c r="H20" s="4" t="s">
        <v>15</v>
      </c>
      <c r="I20" s="7">
        <v>0</v>
      </c>
      <c r="J20" s="4" t="s">
        <v>11</v>
      </c>
      <c r="K20" s="7">
        <v>20</v>
      </c>
      <c r="L20" s="7">
        <v>5</v>
      </c>
      <c r="M20" s="7">
        <v>25</v>
      </c>
      <c r="N20" s="40" t="str">
        <f>IF(tbl_xbox[[#This Row],[Coupon Value]]=$L$3,"No","Yes")</f>
        <v>Yes</v>
      </c>
      <c r="O20" s="40" t="str">
        <f>IF(OR(tbl_xbox[[#This Row],[EA Play Season Pass]]="Yes",tbl_xbox[[#This Row],[Minecraft Season Pass]]="Yes"),"Yes","No")</f>
        <v>Yes</v>
      </c>
      <c r="P20" s="40">
        <f>tbl_xbox[[#This Row],[Subscription Price]]+tbl_xbox[[#This Row],[EA Play Season Pass
Price]]+tbl_xbox[[#This Row],[Minecraft Season Pass Price]]</f>
        <v>30</v>
      </c>
      <c r="Q20" s="41">
        <f>VLOOKUP(tbl_xbox[[#This Row],[Plan]],tbl_apoio5[#All],2,FALSE)</f>
        <v>1</v>
      </c>
      <c r="R20" s="41">
        <f>VLOOKUP(tbl_xbox[[#This Row],[EA Play Season Pass]],tbl_apoio5[[EA Play Season Pass]:[output2]],2,FALSE)</f>
        <v>0</v>
      </c>
      <c r="S20" s="41">
        <f>VLOOKUP(tbl_xbox[[#This Row],[Minecraft Season Pass]],tbl_apoio5[[Minecraft Season Pass]:[Minecraft Season Pass2]],2,FALSE)</f>
        <v>6</v>
      </c>
      <c r="T20" s="41">
        <f>SUM(tbl_xbox[[#This Row],[Plan2]:[Minecraft Season Pass2]])</f>
        <v>7</v>
      </c>
      <c r="U20" s="40" t="str">
        <f>VLOOKUP(tbl_xbox[[#This Row],[soma]],tbl_apoio5[[#All],[soma]:[output2]],2,FALSE)</f>
        <v>Minecraft</v>
      </c>
      <c r="V20" s="7"/>
    </row>
    <row r="21" spans="1:22" ht="16.5" customHeight="1" x14ac:dyDescent="0.2">
      <c r="A21" s="4">
        <v>3250</v>
      </c>
      <c r="B21" s="4" t="s">
        <v>40</v>
      </c>
      <c r="C21" s="4" t="s">
        <v>14</v>
      </c>
      <c r="D21" s="6">
        <v>45367</v>
      </c>
      <c r="E21" s="4" t="s">
        <v>11</v>
      </c>
      <c r="F21" s="7">
        <v>5</v>
      </c>
      <c r="G21" s="4" t="s">
        <v>16</v>
      </c>
      <c r="H21" s="4" t="s">
        <v>15</v>
      </c>
      <c r="I21" s="7">
        <v>0</v>
      </c>
      <c r="J21" s="4" t="s">
        <v>15</v>
      </c>
      <c r="K21" s="7">
        <v>0</v>
      </c>
      <c r="L21" s="7">
        <v>0</v>
      </c>
      <c r="M21" s="7">
        <v>5</v>
      </c>
      <c r="N21" s="40" t="str">
        <f>IF(tbl_xbox[[#This Row],[Coupon Value]]=$L$3,"No","Yes")</f>
        <v>No</v>
      </c>
      <c r="O21" s="40" t="str">
        <f>IF(OR(tbl_xbox[[#This Row],[EA Play Season Pass]]="Yes",tbl_xbox[[#This Row],[Minecraft Season Pass]]="Yes"),"Yes","No")</f>
        <v>No</v>
      </c>
      <c r="P21" s="40">
        <f>tbl_xbox[[#This Row],[Subscription Price]]+tbl_xbox[[#This Row],[EA Play Season Pass
Price]]+tbl_xbox[[#This Row],[Minecraft Season Pass Price]]</f>
        <v>5</v>
      </c>
      <c r="Q21" s="41">
        <f>VLOOKUP(tbl_xbox[[#This Row],[Plan]],tbl_apoio5[#All],2,FALSE)</f>
        <v>0</v>
      </c>
      <c r="R21" s="41">
        <f>VLOOKUP(tbl_xbox[[#This Row],[EA Play Season Pass]],tbl_apoio5[[EA Play Season Pass]:[output2]],2,FALSE)</f>
        <v>0</v>
      </c>
      <c r="S21" s="41">
        <f>VLOOKUP(tbl_xbox[[#This Row],[Minecraft Season Pass]],tbl_apoio5[[Minecraft Season Pass]:[Minecraft Season Pass2]],2,FALSE)</f>
        <v>0</v>
      </c>
      <c r="T21" s="41">
        <f>SUM(tbl_xbox[[#This Row],[Plan2]:[Minecraft Season Pass2]])</f>
        <v>0</v>
      </c>
      <c r="U21" s="40" t="str">
        <f>VLOOKUP(tbl_xbox[[#This Row],[soma]],tbl_apoio5[[#All],[soma]:[output2]],2,FALSE)</f>
        <v>No Extras</v>
      </c>
      <c r="V21" s="7"/>
    </row>
    <row r="22" spans="1:22" ht="16.5" customHeight="1" x14ac:dyDescent="0.2">
      <c r="A22" s="4">
        <v>3251</v>
      </c>
      <c r="B22" s="4" t="s">
        <v>41</v>
      </c>
      <c r="C22" s="4" t="s">
        <v>10</v>
      </c>
      <c r="D22" s="6">
        <v>45368</v>
      </c>
      <c r="E22" s="4" t="s">
        <v>15</v>
      </c>
      <c r="F22" s="7">
        <v>15</v>
      </c>
      <c r="G22" s="4" t="s">
        <v>12</v>
      </c>
      <c r="H22" s="4" t="s">
        <v>11</v>
      </c>
      <c r="I22" s="7">
        <v>30</v>
      </c>
      <c r="J22" s="4" t="s">
        <v>11</v>
      </c>
      <c r="K22" s="7">
        <v>20</v>
      </c>
      <c r="L22" s="7">
        <v>3</v>
      </c>
      <c r="M22" s="7">
        <v>62</v>
      </c>
      <c r="N22" s="40" t="str">
        <f>IF(tbl_xbox[[#This Row],[Coupon Value]]=$L$3,"No","Yes")</f>
        <v>Yes</v>
      </c>
      <c r="O22" s="40" t="str">
        <f>IF(OR(tbl_xbox[[#This Row],[EA Play Season Pass]]="Yes",tbl_xbox[[#This Row],[Minecraft Season Pass]]="Yes"),"Yes","No")</f>
        <v>Yes</v>
      </c>
      <c r="P22" s="40">
        <f>tbl_xbox[[#This Row],[Subscription Price]]+tbl_xbox[[#This Row],[EA Play Season Pass
Price]]+tbl_xbox[[#This Row],[Minecraft Season Pass Price]]</f>
        <v>65</v>
      </c>
      <c r="Q22" s="41">
        <f>VLOOKUP(tbl_xbox[[#This Row],[Plan]],tbl_apoio5[#All],2,FALSE)</f>
        <v>2</v>
      </c>
      <c r="R22" s="41">
        <f>VLOOKUP(tbl_xbox[[#This Row],[EA Play Season Pass]],tbl_apoio5[[EA Play Season Pass]:[output2]],2,FALSE)</f>
        <v>3</v>
      </c>
      <c r="S22" s="41">
        <f>VLOOKUP(tbl_xbox[[#This Row],[Minecraft Season Pass]],tbl_apoio5[[Minecraft Season Pass]:[Minecraft Season Pass2]],2,FALSE)</f>
        <v>6</v>
      </c>
      <c r="T22" s="41">
        <f>SUM(tbl_xbox[[#This Row],[Plan2]:[Minecraft Season Pass2]])</f>
        <v>11</v>
      </c>
      <c r="U22" s="40" t="str">
        <f>VLOOKUP(tbl_xbox[[#This Row],[soma]],tbl_apoio5[[#All],[soma]:[output2]],2,FALSE)</f>
        <v>EA Play + Minecraft</v>
      </c>
      <c r="V22" s="7"/>
    </row>
    <row r="23" spans="1:22" ht="16.5" customHeight="1" x14ac:dyDescent="0.2">
      <c r="A23" s="4">
        <v>3252</v>
      </c>
      <c r="B23" s="4" t="s">
        <v>42</v>
      </c>
      <c r="C23" s="4" t="s">
        <v>18</v>
      </c>
      <c r="D23" s="6">
        <v>45369</v>
      </c>
      <c r="E23" s="4" t="s">
        <v>11</v>
      </c>
      <c r="F23" s="7">
        <v>10</v>
      </c>
      <c r="G23" s="4" t="s">
        <v>19</v>
      </c>
      <c r="H23" s="4" t="s">
        <v>15</v>
      </c>
      <c r="I23" s="7">
        <v>0</v>
      </c>
      <c r="J23" s="4" t="s">
        <v>11</v>
      </c>
      <c r="K23" s="7">
        <v>20</v>
      </c>
      <c r="L23" s="7">
        <v>15</v>
      </c>
      <c r="M23" s="7">
        <v>15</v>
      </c>
      <c r="N23" s="40" t="str">
        <f>IF(tbl_xbox[[#This Row],[Coupon Value]]=$L$3,"No","Yes")</f>
        <v>Yes</v>
      </c>
      <c r="O23" s="40" t="str">
        <f>IF(OR(tbl_xbox[[#This Row],[EA Play Season Pass]]="Yes",tbl_xbox[[#This Row],[Minecraft Season Pass]]="Yes"),"Yes","No")</f>
        <v>Yes</v>
      </c>
      <c r="P23" s="40">
        <f>tbl_xbox[[#This Row],[Subscription Price]]+tbl_xbox[[#This Row],[EA Play Season Pass
Price]]+tbl_xbox[[#This Row],[Minecraft Season Pass Price]]</f>
        <v>30</v>
      </c>
      <c r="Q23" s="41">
        <f>VLOOKUP(tbl_xbox[[#This Row],[Plan]],tbl_apoio5[#All],2,FALSE)</f>
        <v>1</v>
      </c>
      <c r="R23" s="41">
        <f>VLOOKUP(tbl_xbox[[#This Row],[EA Play Season Pass]],tbl_apoio5[[EA Play Season Pass]:[output2]],2,FALSE)</f>
        <v>0</v>
      </c>
      <c r="S23" s="41">
        <f>VLOOKUP(tbl_xbox[[#This Row],[Minecraft Season Pass]],tbl_apoio5[[Minecraft Season Pass]:[Minecraft Season Pass2]],2,FALSE)</f>
        <v>6</v>
      </c>
      <c r="T23" s="41">
        <f>SUM(tbl_xbox[[#This Row],[Plan2]:[Minecraft Season Pass2]])</f>
        <v>7</v>
      </c>
      <c r="U23" s="40" t="str">
        <f>VLOOKUP(tbl_xbox[[#This Row],[soma]],tbl_apoio5[[#All],[soma]:[output2]],2,FALSE)</f>
        <v>Minecraft</v>
      </c>
      <c r="V23" s="7"/>
    </row>
    <row r="24" spans="1:22" ht="16.5" customHeight="1" x14ac:dyDescent="0.2">
      <c r="A24" s="4">
        <v>3253</v>
      </c>
      <c r="B24" s="4" t="s">
        <v>43</v>
      </c>
      <c r="C24" s="4" t="s">
        <v>14</v>
      </c>
      <c r="D24" s="6">
        <v>45370</v>
      </c>
      <c r="E24" s="4" t="s">
        <v>15</v>
      </c>
      <c r="F24" s="7">
        <v>5</v>
      </c>
      <c r="G24" s="4" t="s">
        <v>12</v>
      </c>
      <c r="H24" s="4" t="s">
        <v>15</v>
      </c>
      <c r="I24" s="7">
        <v>0</v>
      </c>
      <c r="J24" s="4" t="s">
        <v>15</v>
      </c>
      <c r="K24" s="7">
        <v>0</v>
      </c>
      <c r="L24" s="7">
        <v>1</v>
      </c>
      <c r="M24" s="7">
        <v>4</v>
      </c>
      <c r="N24" s="40" t="str">
        <f>IF(tbl_xbox[[#This Row],[Coupon Value]]=$L$3,"No","Yes")</f>
        <v>Yes</v>
      </c>
      <c r="O24" s="40" t="str">
        <f>IF(OR(tbl_xbox[[#This Row],[EA Play Season Pass]]="Yes",tbl_xbox[[#This Row],[Minecraft Season Pass]]="Yes"),"Yes","No")</f>
        <v>No</v>
      </c>
      <c r="P24" s="40">
        <f>tbl_xbox[[#This Row],[Subscription Price]]+tbl_xbox[[#This Row],[EA Play Season Pass
Price]]+tbl_xbox[[#This Row],[Minecraft Season Pass Price]]</f>
        <v>5</v>
      </c>
      <c r="Q24" s="41">
        <f>VLOOKUP(tbl_xbox[[#This Row],[Plan]],tbl_apoio5[#All],2,FALSE)</f>
        <v>0</v>
      </c>
      <c r="R24" s="41">
        <f>VLOOKUP(tbl_xbox[[#This Row],[EA Play Season Pass]],tbl_apoio5[[EA Play Season Pass]:[output2]],2,FALSE)</f>
        <v>0</v>
      </c>
      <c r="S24" s="41">
        <f>VLOOKUP(tbl_xbox[[#This Row],[Minecraft Season Pass]],tbl_apoio5[[Minecraft Season Pass]:[Minecraft Season Pass2]],2,FALSE)</f>
        <v>0</v>
      </c>
      <c r="T24" s="41">
        <f>SUM(tbl_xbox[[#This Row],[Plan2]:[Minecraft Season Pass2]])</f>
        <v>0</v>
      </c>
      <c r="U24" s="40" t="str">
        <f>VLOOKUP(tbl_xbox[[#This Row],[soma]],tbl_apoio5[[#All],[soma]:[output2]],2,FALSE)</f>
        <v>No Extras</v>
      </c>
      <c r="V24" s="7"/>
    </row>
    <row r="25" spans="1:22" ht="16.5" customHeight="1" x14ac:dyDescent="0.2">
      <c r="A25" s="4">
        <v>3254</v>
      </c>
      <c r="B25" s="4" t="s">
        <v>44</v>
      </c>
      <c r="C25" s="4" t="s">
        <v>10</v>
      </c>
      <c r="D25" s="6">
        <v>45371</v>
      </c>
      <c r="E25" s="4" t="s">
        <v>11</v>
      </c>
      <c r="F25" s="7">
        <v>15</v>
      </c>
      <c r="G25" s="4" t="s">
        <v>16</v>
      </c>
      <c r="H25" s="4" t="s">
        <v>11</v>
      </c>
      <c r="I25" s="7">
        <v>30</v>
      </c>
      <c r="J25" s="4" t="s">
        <v>11</v>
      </c>
      <c r="K25" s="7">
        <v>20</v>
      </c>
      <c r="L25" s="7">
        <v>20</v>
      </c>
      <c r="M25" s="7">
        <v>45</v>
      </c>
      <c r="N25" s="40" t="str">
        <f>IF(tbl_xbox[[#This Row],[Coupon Value]]=$L$3,"No","Yes")</f>
        <v>Yes</v>
      </c>
      <c r="O25" s="40" t="str">
        <f>IF(OR(tbl_xbox[[#This Row],[EA Play Season Pass]]="Yes",tbl_xbox[[#This Row],[Minecraft Season Pass]]="Yes"),"Yes","No")</f>
        <v>Yes</v>
      </c>
      <c r="P25" s="40">
        <f>tbl_xbox[[#This Row],[Subscription Price]]+tbl_xbox[[#This Row],[EA Play Season Pass
Price]]+tbl_xbox[[#This Row],[Minecraft Season Pass Price]]</f>
        <v>65</v>
      </c>
      <c r="Q25" s="41">
        <f>VLOOKUP(tbl_xbox[[#This Row],[Plan]],tbl_apoio5[#All],2,FALSE)</f>
        <v>2</v>
      </c>
      <c r="R25" s="41">
        <f>VLOOKUP(tbl_xbox[[#This Row],[EA Play Season Pass]],tbl_apoio5[[EA Play Season Pass]:[output2]],2,FALSE)</f>
        <v>3</v>
      </c>
      <c r="S25" s="41">
        <f>VLOOKUP(tbl_xbox[[#This Row],[Minecraft Season Pass]],tbl_apoio5[[Minecraft Season Pass]:[Minecraft Season Pass2]],2,FALSE)</f>
        <v>6</v>
      </c>
      <c r="T25" s="41">
        <f>SUM(tbl_xbox[[#This Row],[Plan2]:[Minecraft Season Pass2]])</f>
        <v>11</v>
      </c>
      <c r="U25" s="40" t="str">
        <f>VLOOKUP(tbl_xbox[[#This Row],[soma]],tbl_apoio5[[#All],[soma]:[output2]],2,FALSE)</f>
        <v>EA Play + Minecraft</v>
      </c>
      <c r="V25" s="7"/>
    </row>
    <row r="26" spans="1:22" ht="16.5" customHeight="1" x14ac:dyDescent="0.2">
      <c r="A26" s="4">
        <v>3255</v>
      </c>
      <c r="B26" s="4" t="s">
        <v>45</v>
      </c>
      <c r="C26" s="4" t="s">
        <v>18</v>
      </c>
      <c r="D26" s="6">
        <v>45372</v>
      </c>
      <c r="E26" s="4" t="s">
        <v>15</v>
      </c>
      <c r="F26" s="7">
        <v>10</v>
      </c>
      <c r="G26" s="4" t="s">
        <v>12</v>
      </c>
      <c r="H26" s="4" t="s">
        <v>15</v>
      </c>
      <c r="I26" s="7">
        <v>0</v>
      </c>
      <c r="J26" s="4" t="s">
        <v>11</v>
      </c>
      <c r="K26" s="7">
        <v>20</v>
      </c>
      <c r="L26" s="7">
        <v>10</v>
      </c>
      <c r="M26" s="7">
        <v>20</v>
      </c>
      <c r="N26" s="40" t="str">
        <f>IF(tbl_xbox[[#This Row],[Coupon Value]]=$L$3,"No","Yes")</f>
        <v>Yes</v>
      </c>
      <c r="O26" s="40" t="str">
        <f>IF(OR(tbl_xbox[[#This Row],[EA Play Season Pass]]="Yes",tbl_xbox[[#This Row],[Minecraft Season Pass]]="Yes"),"Yes","No")</f>
        <v>Yes</v>
      </c>
      <c r="P26" s="40">
        <f>tbl_xbox[[#This Row],[Subscription Price]]+tbl_xbox[[#This Row],[EA Play Season Pass
Price]]+tbl_xbox[[#This Row],[Minecraft Season Pass Price]]</f>
        <v>30</v>
      </c>
      <c r="Q26" s="41">
        <f>VLOOKUP(tbl_xbox[[#This Row],[Plan]],tbl_apoio5[#All],2,FALSE)</f>
        <v>1</v>
      </c>
      <c r="R26" s="41">
        <f>VLOOKUP(tbl_xbox[[#This Row],[EA Play Season Pass]],tbl_apoio5[[EA Play Season Pass]:[output2]],2,FALSE)</f>
        <v>0</v>
      </c>
      <c r="S26" s="41">
        <f>VLOOKUP(tbl_xbox[[#This Row],[Minecraft Season Pass]],tbl_apoio5[[Minecraft Season Pass]:[Minecraft Season Pass2]],2,FALSE)</f>
        <v>6</v>
      </c>
      <c r="T26" s="41">
        <f>SUM(tbl_xbox[[#This Row],[Plan2]:[Minecraft Season Pass2]])</f>
        <v>7</v>
      </c>
      <c r="U26" s="40" t="str">
        <f>VLOOKUP(tbl_xbox[[#This Row],[soma]],tbl_apoio5[[#All],[soma]:[output2]],2,FALSE)</f>
        <v>Minecraft</v>
      </c>
      <c r="V26" s="7"/>
    </row>
    <row r="27" spans="1:22" ht="16.5" customHeight="1" x14ac:dyDescent="0.2">
      <c r="A27" s="4">
        <v>3256</v>
      </c>
      <c r="B27" s="4" t="s">
        <v>46</v>
      </c>
      <c r="C27" s="4" t="s">
        <v>14</v>
      </c>
      <c r="D27" s="6">
        <v>45373</v>
      </c>
      <c r="E27" s="4" t="s">
        <v>11</v>
      </c>
      <c r="F27" s="7">
        <v>5</v>
      </c>
      <c r="G27" s="4" t="s">
        <v>19</v>
      </c>
      <c r="H27" s="4" t="s">
        <v>15</v>
      </c>
      <c r="I27" s="7">
        <v>0</v>
      </c>
      <c r="J27" s="4" t="s">
        <v>15</v>
      </c>
      <c r="K27" s="7">
        <v>0</v>
      </c>
      <c r="L27" s="7">
        <v>0</v>
      </c>
      <c r="M27" s="7">
        <v>5</v>
      </c>
      <c r="N27" s="40" t="str">
        <f>IF(tbl_xbox[[#This Row],[Coupon Value]]=$L$3,"No","Yes")</f>
        <v>No</v>
      </c>
      <c r="O27" s="40" t="str">
        <f>IF(OR(tbl_xbox[[#This Row],[EA Play Season Pass]]="Yes",tbl_xbox[[#This Row],[Minecraft Season Pass]]="Yes"),"Yes","No")</f>
        <v>No</v>
      </c>
      <c r="P27" s="40">
        <f>tbl_xbox[[#This Row],[Subscription Price]]+tbl_xbox[[#This Row],[EA Play Season Pass
Price]]+tbl_xbox[[#This Row],[Minecraft Season Pass Price]]</f>
        <v>5</v>
      </c>
      <c r="Q27" s="41">
        <f>VLOOKUP(tbl_xbox[[#This Row],[Plan]],tbl_apoio5[#All],2,FALSE)</f>
        <v>0</v>
      </c>
      <c r="R27" s="41">
        <f>VLOOKUP(tbl_xbox[[#This Row],[EA Play Season Pass]],tbl_apoio5[[EA Play Season Pass]:[output2]],2,FALSE)</f>
        <v>0</v>
      </c>
      <c r="S27" s="41">
        <f>VLOOKUP(tbl_xbox[[#This Row],[Minecraft Season Pass]],tbl_apoio5[[Minecraft Season Pass]:[Minecraft Season Pass2]],2,FALSE)</f>
        <v>0</v>
      </c>
      <c r="T27" s="41">
        <f>SUM(tbl_xbox[[#This Row],[Plan2]:[Minecraft Season Pass2]])</f>
        <v>0</v>
      </c>
      <c r="U27" s="40" t="str">
        <f>VLOOKUP(tbl_xbox[[#This Row],[soma]],tbl_apoio5[[#All],[soma]:[output2]],2,FALSE)</f>
        <v>No Extras</v>
      </c>
      <c r="V27" s="7"/>
    </row>
    <row r="28" spans="1:22" ht="16.5" customHeight="1" x14ac:dyDescent="0.2">
      <c r="A28" s="4">
        <v>3257</v>
      </c>
      <c r="B28" s="4" t="s">
        <v>47</v>
      </c>
      <c r="C28" s="4" t="s">
        <v>10</v>
      </c>
      <c r="D28" s="6">
        <v>45374</v>
      </c>
      <c r="E28" s="4" t="s">
        <v>15</v>
      </c>
      <c r="F28" s="7">
        <v>15</v>
      </c>
      <c r="G28" s="4" t="s">
        <v>12</v>
      </c>
      <c r="H28" s="4" t="s">
        <v>11</v>
      </c>
      <c r="I28" s="7">
        <v>30</v>
      </c>
      <c r="J28" s="4" t="s">
        <v>11</v>
      </c>
      <c r="K28" s="7">
        <v>20</v>
      </c>
      <c r="L28" s="7">
        <v>5</v>
      </c>
      <c r="M28" s="7">
        <v>60</v>
      </c>
      <c r="N28" s="40" t="str">
        <f>IF(tbl_xbox[[#This Row],[Coupon Value]]=$L$3,"No","Yes")</f>
        <v>Yes</v>
      </c>
      <c r="O28" s="40" t="str">
        <f>IF(OR(tbl_xbox[[#This Row],[EA Play Season Pass]]="Yes",tbl_xbox[[#This Row],[Minecraft Season Pass]]="Yes"),"Yes","No")</f>
        <v>Yes</v>
      </c>
      <c r="P28" s="40">
        <f>tbl_xbox[[#This Row],[Subscription Price]]+tbl_xbox[[#This Row],[EA Play Season Pass
Price]]+tbl_xbox[[#This Row],[Minecraft Season Pass Price]]</f>
        <v>65</v>
      </c>
      <c r="Q28" s="41">
        <f>VLOOKUP(tbl_xbox[[#This Row],[Plan]],tbl_apoio5[#All],2,FALSE)</f>
        <v>2</v>
      </c>
      <c r="R28" s="41">
        <f>VLOOKUP(tbl_xbox[[#This Row],[EA Play Season Pass]],tbl_apoio5[[EA Play Season Pass]:[output2]],2,FALSE)</f>
        <v>3</v>
      </c>
      <c r="S28" s="41">
        <f>VLOOKUP(tbl_xbox[[#This Row],[Minecraft Season Pass]],tbl_apoio5[[Minecraft Season Pass]:[Minecraft Season Pass2]],2,FALSE)</f>
        <v>6</v>
      </c>
      <c r="T28" s="41">
        <f>SUM(tbl_xbox[[#This Row],[Plan2]:[Minecraft Season Pass2]])</f>
        <v>11</v>
      </c>
      <c r="U28" s="40" t="str">
        <f>VLOOKUP(tbl_xbox[[#This Row],[soma]],tbl_apoio5[[#All],[soma]:[output2]],2,FALSE)</f>
        <v>EA Play + Minecraft</v>
      </c>
      <c r="V28" s="7"/>
    </row>
    <row r="29" spans="1:22" ht="16.5" customHeight="1" x14ac:dyDescent="0.2">
      <c r="A29" s="4">
        <v>3258</v>
      </c>
      <c r="B29" s="4" t="s">
        <v>48</v>
      </c>
      <c r="C29" s="4" t="s">
        <v>18</v>
      </c>
      <c r="D29" s="6">
        <v>45375</v>
      </c>
      <c r="E29" s="4" t="s">
        <v>11</v>
      </c>
      <c r="F29" s="7">
        <v>10</v>
      </c>
      <c r="G29" s="4" t="s">
        <v>16</v>
      </c>
      <c r="H29" s="4" t="s">
        <v>15</v>
      </c>
      <c r="I29" s="7">
        <v>0</v>
      </c>
      <c r="J29" s="4" t="s">
        <v>11</v>
      </c>
      <c r="K29" s="7">
        <v>20</v>
      </c>
      <c r="L29" s="7">
        <v>15</v>
      </c>
      <c r="M29" s="7">
        <v>15</v>
      </c>
      <c r="N29" s="40" t="str">
        <f>IF(tbl_xbox[[#This Row],[Coupon Value]]=$L$3,"No","Yes")</f>
        <v>Yes</v>
      </c>
      <c r="O29" s="40" t="str">
        <f>IF(OR(tbl_xbox[[#This Row],[EA Play Season Pass]]="Yes",tbl_xbox[[#This Row],[Minecraft Season Pass]]="Yes"),"Yes","No")</f>
        <v>Yes</v>
      </c>
      <c r="P29" s="40">
        <f>tbl_xbox[[#This Row],[Subscription Price]]+tbl_xbox[[#This Row],[EA Play Season Pass
Price]]+tbl_xbox[[#This Row],[Minecraft Season Pass Price]]</f>
        <v>30</v>
      </c>
      <c r="Q29" s="41">
        <f>VLOOKUP(tbl_xbox[[#This Row],[Plan]],tbl_apoio5[#All],2,FALSE)</f>
        <v>1</v>
      </c>
      <c r="R29" s="41">
        <f>VLOOKUP(tbl_xbox[[#This Row],[EA Play Season Pass]],tbl_apoio5[[EA Play Season Pass]:[output2]],2,FALSE)</f>
        <v>0</v>
      </c>
      <c r="S29" s="41">
        <f>VLOOKUP(tbl_xbox[[#This Row],[Minecraft Season Pass]],tbl_apoio5[[Minecraft Season Pass]:[Minecraft Season Pass2]],2,FALSE)</f>
        <v>6</v>
      </c>
      <c r="T29" s="41">
        <f>SUM(tbl_xbox[[#This Row],[Plan2]:[Minecraft Season Pass2]])</f>
        <v>7</v>
      </c>
      <c r="U29" s="40" t="str">
        <f>VLOOKUP(tbl_xbox[[#This Row],[soma]],tbl_apoio5[[#All],[soma]:[output2]],2,FALSE)</f>
        <v>Minecraft</v>
      </c>
      <c r="V29" s="7"/>
    </row>
    <row r="30" spans="1:22" ht="16.5" customHeight="1" x14ac:dyDescent="0.2">
      <c r="A30" s="4">
        <v>3259</v>
      </c>
      <c r="B30" s="4" t="s">
        <v>49</v>
      </c>
      <c r="C30" s="4" t="s">
        <v>14</v>
      </c>
      <c r="D30" s="6">
        <v>45376</v>
      </c>
      <c r="E30" s="4" t="s">
        <v>15</v>
      </c>
      <c r="F30" s="7">
        <v>5</v>
      </c>
      <c r="G30" s="4" t="s">
        <v>12</v>
      </c>
      <c r="H30" s="4" t="s">
        <v>15</v>
      </c>
      <c r="I30" s="7">
        <v>0</v>
      </c>
      <c r="J30" s="4" t="s">
        <v>15</v>
      </c>
      <c r="K30" s="7">
        <v>0</v>
      </c>
      <c r="L30" s="7">
        <v>1</v>
      </c>
      <c r="M30" s="7">
        <v>4</v>
      </c>
      <c r="N30" s="40" t="str">
        <f>IF(tbl_xbox[[#This Row],[Coupon Value]]=$L$3,"No","Yes")</f>
        <v>Yes</v>
      </c>
      <c r="O30" s="40" t="str">
        <f>IF(OR(tbl_xbox[[#This Row],[EA Play Season Pass]]="Yes",tbl_xbox[[#This Row],[Minecraft Season Pass]]="Yes"),"Yes","No")</f>
        <v>No</v>
      </c>
      <c r="P30" s="40">
        <f>tbl_xbox[[#This Row],[Subscription Price]]+tbl_xbox[[#This Row],[EA Play Season Pass
Price]]+tbl_xbox[[#This Row],[Minecraft Season Pass Price]]</f>
        <v>5</v>
      </c>
      <c r="Q30" s="41">
        <f>VLOOKUP(tbl_xbox[[#This Row],[Plan]],tbl_apoio5[#All],2,FALSE)</f>
        <v>0</v>
      </c>
      <c r="R30" s="41">
        <f>VLOOKUP(tbl_xbox[[#This Row],[EA Play Season Pass]],tbl_apoio5[[EA Play Season Pass]:[output2]],2,FALSE)</f>
        <v>0</v>
      </c>
      <c r="S30" s="41">
        <f>VLOOKUP(tbl_xbox[[#This Row],[Minecraft Season Pass]],tbl_apoio5[[Minecraft Season Pass]:[Minecraft Season Pass2]],2,FALSE)</f>
        <v>0</v>
      </c>
      <c r="T30" s="41">
        <f>SUM(tbl_xbox[[#This Row],[Plan2]:[Minecraft Season Pass2]])</f>
        <v>0</v>
      </c>
      <c r="U30" s="40" t="str">
        <f>VLOOKUP(tbl_xbox[[#This Row],[soma]],tbl_apoio5[[#All],[soma]:[output2]],2,FALSE)</f>
        <v>No Extras</v>
      </c>
      <c r="V30" s="7"/>
    </row>
    <row r="31" spans="1:22" ht="16.5" customHeight="1" x14ac:dyDescent="0.2">
      <c r="A31" s="4">
        <v>3260</v>
      </c>
      <c r="B31" s="4" t="s">
        <v>50</v>
      </c>
      <c r="C31" s="4" t="s">
        <v>10</v>
      </c>
      <c r="D31" s="6">
        <v>45377</v>
      </c>
      <c r="E31" s="4" t="s">
        <v>11</v>
      </c>
      <c r="F31" s="7">
        <v>15</v>
      </c>
      <c r="G31" s="4" t="s">
        <v>19</v>
      </c>
      <c r="H31" s="4" t="s">
        <v>11</v>
      </c>
      <c r="I31" s="7">
        <v>30</v>
      </c>
      <c r="J31" s="4" t="s">
        <v>11</v>
      </c>
      <c r="K31" s="7">
        <v>20</v>
      </c>
      <c r="L31" s="7">
        <v>7</v>
      </c>
      <c r="M31" s="7">
        <v>58</v>
      </c>
      <c r="N31" s="40" t="str">
        <f>IF(tbl_xbox[[#This Row],[Coupon Value]]=$L$3,"No","Yes")</f>
        <v>Yes</v>
      </c>
      <c r="O31" s="40" t="str">
        <f>IF(OR(tbl_xbox[[#This Row],[EA Play Season Pass]]="Yes",tbl_xbox[[#This Row],[Minecraft Season Pass]]="Yes"),"Yes","No")</f>
        <v>Yes</v>
      </c>
      <c r="P31" s="40">
        <f>tbl_xbox[[#This Row],[Subscription Price]]+tbl_xbox[[#This Row],[EA Play Season Pass
Price]]+tbl_xbox[[#This Row],[Minecraft Season Pass Price]]</f>
        <v>65</v>
      </c>
      <c r="Q31" s="41">
        <f>VLOOKUP(tbl_xbox[[#This Row],[Plan]],tbl_apoio5[#All],2,FALSE)</f>
        <v>2</v>
      </c>
      <c r="R31" s="41">
        <f>VLOOKUP(tbl_xbox[[#This Row],[EA Play Season Pass]],tbl_apoio5[[EA Play Season Pass]:[output2]],2,FALSE)</f>
        <v>3</v>
      </c>
      <c r="S31" s="41">
        <f>VLOOKUP(tbl_xbox[[#This Row],[Minecraft Season Pass]],tbl_apoio5[[Minecraft Season Pass]:[Minecraft Season Pass2]],2,FALSE)</f>
        <v>6</v>
      </c>
      <c r="T31" s="41">
        <f>SUM(tbl_xbox[[#This Row],[Plan2]:[Minecraft Season Pass2]])</f>
        <v>11</v>
      </c>
      <c r="U31" s="40" t="str">
        <f>VLOOKUP(tbl_xbox[[#This Row],[soma]],tbl_apoio5[[#All],[soma]:[output2]],2,FALSE)</f>
        <v>EA Play + Minecraft</v>
      </c>
      <c r="V31" s="7"/>
    </row>
    <row r="32" spans="1:22" ht="16.5" customHeight="1" x14ac:dyDescent="0.2">
      <c r="A32" s="4">
        <v>3261</v>
      </c>
      <c r="B32" s="4" t="s">
        <v>51</v>
      </c>
      <c r="C32" s="4" t="s">
        <v>18</v>
      </c>
      <c r="D32" s="6">
        <v>45378</v>
      </c>
      <c r="E32" s="4" t="s">
        <v>15</v>
      </c>
      <c r="F32" s="7">
        <v>10</v>
      </c>
      <c r="G32" s="4" t="s">
        <v>12</v>
      </c>
      <c r="H32" s="4" t="s">
        <v>15</v>
      </c>
      <c r="I32" s="7">
        <v>0</v>
      </c>
      <c r="J32" s="4" t="s">
        <v>11</v>
      </c>
      <c r="K32" s="7">
        <v>20</v>
      </c>
      <c r="L32" s="7">
        <v>10</v>
      </c>
      <c r="M32" s="7">
        <v>20</v>
      </c>
      <c r="N32" s="40" t="str">
        <f>IF(tbl_xbox[[#This Row],[Coupon Value]]=$L$3,"No","Yes")</f>
        <v>Yes</v>
      </c>
      <c r="O32" s="40" t="str">
        <f>IF(OR(tbl_xbox[[#This Row],[EA Play Season Pass]]="Yes",tbl_xbox[[#This Row],[Minecraft Season Pass]]="Yes"),"Yes","No")</f>
        <v>Yes</v>
      </c>
      <c r="P32" s="40">
        <f>tbl_xbox[[#This Row],[Subscription Price]]+tbl_xbox[[#This Row],[EA Play Season Pass
Price]]+tbl_xbox[[#This Row],[Minecraft Season Pass Price]]</f>
        <v>30</v>
      </c>
      <c r="Q32" s="41">
        <f>VLOOKUP(tbl_xbox[[#This Row],[Plan]],tbl_apoio5[#All],2,FALSE)</f>
        <v>1</v>
      </c>
      <c r="R32" s="41">
        <f>VLOOKUP(tbl_xbox[[#This Row],[EA Play Season Pass]],tbl_apoio5[[EA Play Season Pass]:[output2]],2,FALSE)</f>
        <v>0</v>
      </c>
      <c r="S32" s="41">
        <f>VLOOKUP(tbl_xbox[[#This Row],[Minecraft Season Pass]],tbl_apoio5[[Minecraft Season Pass]:[Minecraft Season Pass2]],2,FALSE)</f>
        <v>6</v>
      </c>
      <c r="T32" s="41">
        <f>SUM(tbl_xbox[[#This Row],[Plan2]:[Minecraft Season Pass2]])</f>
        <v>7</v>
      </c>
      <c r="U32" s="40" t="str">
        <f>VLOOKUP(tbl_xbox[[#This Row],[soma]],tbl_apoio5[[#All],[soma]:[output2]],2,FALSE)</f>
        <v>Minecraft</v>
      </c>
      <c r="V32" s="7"/>
    </row>
    <row r="33" spans="1:22" ht="16.5" customHeight="1" x14ac:dyDescent="0.2">
      <c r="A33" s="4">
        <v>3262</v>
      </c>
      <c r="B33" s="4" t="s">
        <v>52</v>
      </c>
      <c r="C33" s="4" t="s">
        <v>14</v>
      </c>
      <c r="D33" s="6">
        <v>45379</v>
      </c>
      <c r="E33" s="4" t="s">
        <v>11</v>
      </c>
      <c r="F33" s="7">
        <v>5</v>
      </c>
      <c r="G33" s="4" t="s">
        <v>16</v>
      </c>
      <c r="H33" s="4" t="s">
        <v>15</v>
      </c>
      <c r="I33" s="7">
        <v>0</v>
      </c>
      <c r="J33" s="4" t="s">
        <v>15</v>
      </c>
      <c r="K33" s="7">
        <v>0</v>
      </c>
      <c r="L33" s="7">
        <v>0</v>
      </c>
      <c r="M33" s="7">
        <v>5</v>
      </c>
      <c r="N33" s="40" t="str">
        <f>IF(tbl_xbox[[#This Row],[Coupon Value]]=$L$3,"No","Yes")</f>
        <v>No</v>
      </c>
      <c r="O33" s="40" t="str">
        <f>IF(OR(tbl_xbox[[#This Row],[EA Play Season Pass]]="Yes",tbl_xbox[[#This Row],[Minecraft Season Pass]]="Yes"),"Yes","No")</f>
        <v>No</v>
      </c>
      <c r="P33" s="40">
        <f>tbl_xbox[[#This Row],[Subscription Price]]+tbl_xbox[[#This Row],[EA Play Season Pass
Price]]+tbl_xbox[[#This Row],[Minecraft Season Pass Price]]</f>
        <v>5</v>
      </c>
      <c r="Q33" s="41">
        <f>VLOOKUP(tbl_xbox[[#This Row],[Plan]],tbl_apoio5[#All],2,FALSE)</f>
        <v>0</v>
      </c>
      <c r="R33" s="41">
        <f>VLOOKUP(tbl_xbox[[#This Row],[EA Play Season Pass]],tbl_apoio5[[EA Play Season Pass]:[output2]],2,FALSE)</f>
        <v>0</v>
      </c>
      <c r="S33" s="41">
        <f>VLOOKUP(tbl_xbox[[#This Row],[Minecraft Season Pass]],tbl_apoio5[[Minecraft Season Pass]:[Minecraft Season Pass2]],2,FALSE)</f>
        <v>0</v>
      </c>
      <c r="T33" s="41">
        <f>SUM(tbl_xbox[[#This Row],[Plan2]:[Minecraft Season Pass2]])</f>
        <v>0</v>
      </c>
      <c r="U33" s="40" t="str">
        <f>VLOOKUP(tbl_xbox[[#This Row],[soma]],tbl_apoio5[[#All],[soma]:[output2]],2,FALSE)</f>
        <v>No Extras</v>
      </c>
      <c r="V33" s="7"/>
    </row>
    <row r="34" spans="1:22" ht="16.5" customHeight="1" x14ac:dyDescent="0.2">
      <c r="A34" s="4">
        <v>3263</v>
      </c>
      <c r="B34" s="4" t="s">
        <v>53</v>
      </c>
      <c r="C34" s="4" t="s">
        <v>10</v>
      </c>
      <c r="D34" s="6">
        <v>45380</v>
      </c>
      <c r="E34" s="4" t="s">
        <v>15</v>
      </c>
      <c r="F34" s="7">
        <v>15</v>
      </c>
      <c r="G34" s="4" t="s">
        <v>12</v>
      </c>
      <c r="H34" s="4" t="s">
        <v>11</v>
      </c>
      <c r="I34" s="7">
        <v>30</v>
      </c>
      <c r="J34" s="4" t="s">
        <v>11</v>
      </c>
      <c r="K34" s="7">
        <v>20</v>
      </c>
      <c r="L34" s="7">
        <v>3</v>
      </c>
      <c r="M34" s="7">
        <v>62</v>
      </c>
      <c r="N34" s="40" t="str">
        <f>IF(tbl_xbox[[#This Row],[Coupon Value]]=$L$3,"No","Yes")</f>
        <v>Yes</v>
      </c>
      <c r="O34" s="40" t="str">
        <f>IF(OR(tbl_xbox[[#This Row],[EA Play Season Pass]]="Yes",tbl_xbox[[#This Row],[Minecraft Season Pass]]="Yes"),"Yes","No")</f>
        <v>Yes</v>
      </c>
      <c r="P34" s="40">
        <f>tbl_xbox[[#This Row],[Subscription Price]]+tbl_xbox[[#This Row],[EA Play Season Pass
Price]]+tbl_xbox[[#This Row],[Minecraft Season Pass Price]]</f>
        <v>65</v>
      </c>
      <c r="Q34" s="41">
        <f>VLOOKUP(tbl_xbox[[#This Row],[Plan]],tbl_apoio5[#All],2,FALSE)</f>
        <v>2</v>
      </c>
      <c r="R34" s="41">
        <f>VLOOKUP(tbl_xbox[[#This Row],[EA Play Season Pass]],tbl_apoio5[[EA Play Season Pass]:[output2]],2,FALSE)</f>
        <v>3</v>
      </c>
      <c r="S34" s="41">
        <f>VLOOKUP(tbl_xbox[[#This Row],[Minecraft Season Pass]],tbl_apoio5[[Minecraft Season Pass]:[Minecraft Season Pass2]],2,FALSE)</f>
        <v>6</v>
      </c>
      <c r="T34" s="41">
        <f>SUM(tbl_xbox[[#This Row],[Plan2]:[Minecraft Season Pass2]])</f>
        <v>11</v>
      </c>
      <c r="U34" s="40" t="str">
        <f>VLOOKUP(tbl_xbox[[#This Row],[soma]],tbl_apoio5[[#All],[soma]:[output2]],2,FALSE)</f>
        <v>EA Play + Minecraft</v>
      </c>
      <c r="V34" s="7"/>
    </row>
    <row r="35" spans="1:22" ht="16.5" customHeight="1" x14ac:dyDescent="0.2">
      <c r="A35" s="4">
        <v>3264</v>
      </c>
      <c r="B35" s="4" t="s">
        <v>54</v>
      </c>
      <c r="C35" s="4" t="s">
        <v>18</v>
      </c>
      <c r="D35" s="6">
        <v>45381</v>
      </c>
      <c r="E35" s="4" t="s">
        <v>11</v>
      </c>
      <c r="F35" s="7">
        <v>10</v>
      </c>
      <c r="G35" s="4" t="s">
        <v>19</v>
      </c>
      <c r="H35" s="4" t="s">
        <v>15</v>
      </c>
      <c r="I35" s="7">
        <v>0</v>
      </c>
      <c r="J35" s="4" t="s">
        <v>11</v>
      </c>
      <c r="K35" s="7">
        <v>20</v>
      </c>
      <c r="L35" s="7">
        <v>15</v>
      </c>
      <c r="M35" s="7">
        <v>15</v>
      </c>
      <c r="N35" s="40" t="str">
        <f>IF(tbl_xbox[[#This Row],[Coupon Value]]=$L$3,"No","Yes")</f>
        <v>Yes</v>
      </c>
      <c r="O35" s="40" t="str">
        <f>IF(OR(tbl_xbox[[#This Row],[EA Play Season Pass]]="Yes",tbl_xbox[[#This Row],[Minecraft Season Pass]]="Yes"),"Yes","No")</f>
        <v>Yes</v>
      </c>
      <c r="P35" s="40">
        <f>tbl_xbox[[#This Row],[Subscription Price]]+tbl_xbox[[#This Row],[EA Play Season Pass
Price]]+tbl_xbox[[#This Row],[Minecraft Season Pass Price]]</f>
        <v>30</v>
      </c>
      <c r="Q35" s="41">
        <f>VLOOKUP(tbl_xbox[[#This Row],[Plan]],tbl_apoio5[#All],2,FALSE)</f>
        <v>1</v>
      </c>
      <c r="R35" s="41">
        <f>VLOOKUP(tbl_xbox[[#This Row],[EA Play Season Pass]],tbl_apoio5[[EA Play Season Pass]:[output2]],2,FALSE)</f>
        <v>0</v>
      </c>
      <c r="S35" s="41">
        <f>VLOOKUP(tbl_xbox[[#This Row],[Minecraft Season Pass]],tbl_apoio5[[Minecraft Season Pass]:[Minecraft Season Pass2]],2,FALSE)</f>
        <v>6</v>
      </c>
      <c r="T35" s="41">
        <f>SUM(tbl_xbox[[#This Row],[Plan2]:[Minecraft Season Pass2]])</f>
        <v>7</v>
      </c>
      <c r="U35" s="40" t="str">
        <f>VLOOKUP(tbl_xbox[[#This Row],[soma]],tbl_apoio5[[#All],[soma]:[output2]],2,FALSE)</f>
        <v>Minecraft</v>
      </c>
      <c r="V35" s="7"/>
    </row>
    <row r="36" spans="1:22" ht="16.5" customHeight="1" x14ac:dyDescent="0.2">
      <c r="A36" s="4">
        <v>3265</v>
      </c>
      <c r="B36" s="4" t="s">
        <v>55</v>
      </c>
      <c r="C36" s="4" t="s">
        <v>14</v>
      </c>
      <c r="D36" s="6">
        <v>45382</v>
      </c>
      <c r="E36" s="4" t="s">
        <v>15</v>
      </c>
      <c r="F36" s="7">
        <v>5</v>
      </c>
      <c r="G36" s="4" t="s">
        <v>12</v>
      </c>
      <c r="H36" s="4" t="s">
        <v>15</v>
      </c>
      <c r="I36" s="7">
        <v>0</v>
      </c>
      <c r="J36" s="4" t="s">
        <v>15</v>
      </c>
      <c r="K36" s="7">
        <v>0</v>
      </c>
      <c r="L36" s="7">
        <v>1</v>
      </c>
      <c r="M36" s="7">
        <v>4</v>
      </c>
      <c r="N36" s="40" t="str">
        <f>IF(tbl_xbox[[#This Row],[Coupon Value]]=$L$3,"No","Yes")</f>
        <v>Yes</v>
      </c>
      <c r="O36" s="40" t="str">
        <f>IF(OR(tbl_xbox[[#This Row],[EA Play Season Pass]]="Yes",tbl_xbox[[#This Row],[Minecraft Season Pass]]="Yes"),"Yes","No")</f>
        <v>No</v>
      </c>
      <c r="P36" s="40">
        <f>tbl_xbox[[#This Row],[Subscription Price]]+tbl_xbox[[#This Row],[EA Play Season Pass
Price]]+tbl_xbox[[#This Row],[Minecraft Season Pass Price]]</f>
        <v>5</v>
      </c>
      <c r="Q36" s="41">
        <f>VLOOKUP(tbl_xbox[[#This Row],[Plan]],tbl_apoio5[#All],2,FALSE)</f>
        <v>0</v>
      </c>
      <c r="R36" s="41">
        <f>VLOOKUP(tbl_xbox[[#This Row],[EA Play Season Pass]],tbl_apoio5[[EA Play Season Pass]:[output2]],2,FALSE)</f>
        <v>0</v>
      </c>
      <c r="S36" s="41">
        <f>VLOOKUP(tbl_xbox[[#This Row],[Minecraft Season Pass]],tbl_apoio5[[Minecraft Season Pass]:[Minecraft Season Pass2]],2,FALSE)</f>
        <v>0</v>
      </c>
      <c r="T36" s="41">
        <f>SUM(tbl_xbox[[#This Row],[Plan2]:[Minecraft Season Pass2]])</f>
        <v>0</v>
      </c>
      <c r="U36" s="40" t="str">
        <f>VLOOKUP(tbl_xbox[[#This Row],[soma]],tbl_apoio5[[#All],[soma]:[output2]],2,FALSE)</f>
        <v>No Extras</v>
      </c>
      <c r="V36" s="7"/>
    </row>
    <row r="37" spans="1:22" ht="16.5" customHeight="1" x14ac:dyDescent="0.2">
      <c r="A37" s="4">
        <v>3266</v>
      </c>
      <c r="B37" s="4" t="s">
        <v>56</v>
      </c>
      <c r="C37" s="4" t="s">
        <v>14</v>
      </c>
      <c r="D37" s="6">
        <v>45383</v>
      </c>
      <c r="E37" s="4" t="s">
        <v>11</v>
      </c>
      <c r="F37" s="7">
        <v>5</v>
      </c>
      <c r="G37" s="4" t="s">
        <v>12</v>
      </c>
      <c r="H37" s="4" t="s">
        <v>15</v>
      </c>
      <c r="I37" s="7">
        <v>0</v>
      </c>
      <c r="J37" s="4" t="s">
        <v>15</v>
      </c>
      <c r="K37" s="7">
        <v>0</v>
      </c>
      <c r="L37" s="7">
        <v>0</v>
      </c>
      <c r="M37" s="7">
        <v>5</v>
      </c>
      <c r="N37" s="40" t="str">
        <f>IF(tbl_xbox[[#This Row],[Coupon Value]]=$L$3,"No","Yes")</f>
        <v>No</v>
      </c>
      <c r="O37" s="40" t="str">
        <f>IF(OR(tbl_xbox[[#This Row],[EA Play Season Pass]]="Yes",tbl_xbox[[#This Row],[Minecraft Season Pass]]="Yes"),"Yes","No")</f>
        <v>No</v>
      </c>
      <c r="P37" s="40">
        <f>tbl_xbox[[#This Row],[Subscription Price]]+tbl_xbox[[#This Row],[EA Play Season Pass
Price]]+tbl_xbox[[#This Row],[Minecraft Season Pass Price]]</f>
        <v>5</v>
      </c>
      <c r="Q37" s="41">
        <f>VLOOKUP(tbl_xbox[[#This Row],[Plan]],tbl_apoio5[#All],2,FALSE)</f>
        <v>0</v>
      </c>
      <c r="R37" s="41">
        <f>VLOOKUP(tbl_xbox[[#This Row],[EA Play Season Pass]],tbl_apoio5[[EA Play Season Pass]:[output2]],2,FALSE)</f>
        <v>0</v>
      </c>
      <c r="S37" s="41">
        <f>VLOOKUP(tbl_xbox[[#This Row],[Minecraft Season Pass]],tbl_apoio5[[Minecraft Season Pass]:[Minecraft Season Pass2]],2,FALSE)</f>
        <v>0</v>
      </c>
      <c r="T37" s="41">
        <f>SUM(tbl_xbox[[#This Row],[Plan2]:[Minecraft Season Pass2]])</f>
        <v>0</v>
      </c>
      <c r="U37" s="40" t="str">
        <f>VLOOKUP(tbl_xbox[[#This Row],[soma]],tbl_apoio5[[#All],[soma]:[output2]],2,FALSE)</f>
        <v>No Extras</v>
      </c>
      <c r="V37" s="7"/>
    </row>
    <row r="38" spans="1:22" ht="16.5" customHeight="1" x14ac:dyDescent="0.2">
      <c r="A38" s="4">
        <v>3267</v>
      </c>
      <c r="B38" s="4" t="s">
        <v>57</v>
      </c>
      <c r="C38" s="4" t="s">
        <v>10</v>
      </c>
      <c r="D38" s="6">
        <v>45384</v>
      </c>
      <c r="E38" s="4" t="s">
        <v>15</v>
      </c>
      <c r="F38" s="7">
        <v>15</v>
      </c>
      <c r="G38" s="4" t="s">
        <v>19</v>
      </c>
      <c r="H38" s="4" t="s">
        <v>11</v>
      </c>
      <c r="I38" s="7">
        <v>30</v>
      </c>
      <c r="J38" s="4" t="s">
        <v>11</v>
      </c>
      <c r="K38" s="7">
        <v>20</v>
      </c>
      <c r="L38" s="7">
        <v>7</v>
      </c>
      <c r="M38" s="7">
        <v>58</v>
      </c>
      <c r="N38" s="40" t="str">
        <f>IF(tbl_xbox[[#This Row],[Coupon Value]]=$L$3,"No","Yes")</f>
        <v>Yes</v>
      </c>
      <c r="O38" s="40" t="str">
        <f>IF(OR(tbl_xbox[[#This Row],[EA Play Season Pass]]="Yes",tbl_xbox[[#This Row],[Minecraft Season Pass]]="Yes"),"Yes","No")</f>
        <v>Yes</v>
      </c>
      <c r="P38" s="40">
        <f>tbl_xbox[[#This Row],[Subscription Price]]+tbl_xbox[[#This Row],[EA Play Season Pass
Price]]+tbl_xbox[[#This Row],[Minecraft Season Pass Price]]</f>
        <v>65</v>
      </c>
      <c r="Q38" s="41">
        <f>VLOOKUP(tbl_xbox[[#This Row],[Plan]],tbl_apoio5[#All],2,FALSE)</f>
        <v>2</v>
      </c>
      <c r="R38" s="41">
        <f>VLOOKUP(tbl_xbox[[#This Row],[EA Play Season Pass]],tbl_apoio5[[EA Play Season Pass]:[output2]],2,FALSE)</f>
        <v>3</v>
      </c>
      <c r="S38" s="41">
        <f>VLOOKUP(tbl_xbox[[#This Row],[Minecraft Season Pass]],tbl_apoio5[[Minecraft Season Pass]:[Minecraft Season Pass2]],2,FALSE)</f>
        <v>6</v>
      </c>
      <c r="T38" s="41">
        <f>SUM(tbl_xbox[[#This Row],[Plan2]:[Minecraft Season Pass2]])</f>
        <v>11</v>
      </c>
      <c r="U38" s="40" t="str">
        <f>VLOOKUP(tbl_xbox[[#This Row],[soma]],tbl_apoio5[[#All],[soma]:[output2]],2,FALSE)</f>
        <v>EA Play + Minecraft</v>
      </c>
      <c r="V38" s="7"/>
    </row>
    <row r="39" spans="1:22" ht="16.5" customHeight="1" x14ac:dyDescent="0.2">
      <c r="A39" s="4">
        <v>3268</v>
      </c>
      <c r="B39" s="4" t="s">
        <v>58</v>
      </c>
      <c r="C39" s="4" t="s">
        <v>18</v>
      </c>
      <c r="D39" s="6">
        <v>45385</v>
      </c>
      <c r="E39" s="4" t="s">
        <v>11</v>
      </c>
      <c r="F39" s="7">
        <v>10</v>
      </c>
      <c r="G39" s="4" t="s">
        <v>16</v>
      </c>
      <c r="H39" s="4" t="s">
        <v>15</v>
      </c>
      <c r="I39" s="7">
        <v>0</v>
      </c>
      <c r="J39" s="4" t="s">
        <v>11</v>
      </c>
      <c r="K39" s="7">
        <v>20</v>
      </c>
      <c r="L39" s="7">
        <v>10</v>
      </c>
      <c r="M39" s="7">
        <v>20</v>
      </c>
      <c r="N39" s="40" t="str">
        <f>IF(tbl_xbox[[#This Row],[Coupon Value]]=$L$3,"No","Yes")</f>
        <v>Yes</v>
      </c>
      <c r="O39" s="40" t="str">
        <f>IF(OR(tbl_xbox[[#This Row],[EA Play Season Pass]]="Yes",tbl_xbox[[#This Row],[Minecraft Season Pass]]="Yes"),"Yes","No")</f>
        <v>Yes</v>
      </c>
      <c r="P39" s="40">
        <f>tbl_xbox[[#This Row],[Subscription Price]]+tbl_xbox[[#This Row],[EA Play Season Pass
Price]]+tbl_xbox[[#This Row],[Minecraft Season Pass Price]]</f>
        <v>30</v>
      </c>
      <c r="Q39" s="41">
        <f>VLOOKUP(tbl_xbox[[#This Row],[Plan]],tbl_apoio5[#All],2,FALSE)</f>
        <v>1</v>
      </c>
      <c r="R39" s="41">
        <f>VLOOKUP(tbl_xbox[[#This Row],[EA Play Season Pass]],tbl_apoio5[[EA Play Season Pass]:[output2]],2,FALSE)</f>
        <v>0</v>
      </c>
      <c r="S39" s="41">
        <f>VLOOKUP(tbl_xbox[[#This Row],[Minecraft Season Pass]],tbl_apoio5[[Minecraft Season Pass]:[Minecraft Season Pass2]],2,FALSE)</f>
        <v>6</v>
      </c>
      <c r="T39" s="41">
        <f>SUM(tbl_xbox[[#This Row],[Plan2]:[Minecraft Season Pass2]])</f>
        <v>7</v>
      </c>
      <c r="U39" s="40" t="str">
        <f>VLOOKUP(tbl_xbox[[#This Row],[soma]],tbl_apoio5[[#All],[soma]:[output2]],2,FALSE)</f>
        <v>Minecraft</v>
      </c>
      <c r="V39" s="7"/>
    </row>
    <row r="40" spans="1:22" ht="16.5" customHeight="1" x14ac:dyDescent="0.2">
      <c r="A40" s="4">
        <v>3269</v>
      </c>
      <c r="B40" s="4" t="s">
        <v>59</v>
      </c>
      <c r="C40" s="4" t="s">
        <v>14</v>
      </c>
      <c r="D40" s="6">
        <v>45386</v>
      </c>
      <c r="E40" s="4" t="s">
        <v>15</v>
      </c>
      <c r="F40" s="7">
        <v>5</v>
      </c>
      <c r="G40" s="4" t="s">
        <v>19</v>
      </c>
      <c r="H40" s="4" t="s">
        <v>15</v>
      </c>
      <c r="I40" s="7">
        <v>0</v>
      </c>
      <c r="J40" s="4" t="s">
        <v>15</v>
      </c>
      <c r="K40" s="7">
        <v>0</v>
      </c>
      <c r="L40" s="7">
        <v>1</v>
      </c>
      <c r="M40" s="7">
        <v>4</v>
      </c>
      <c r="N40" s="40" t="str">
        <f>IF(tbl_xbox[[#This Row],[Coupon Value]]=$L$3,"No","Yes")</f>
        <v>Yes</v>
      </c>
      <c r="O40" s="40" t="str">
        <f>IF(OR(tbl_xbox[[#This Row],[EA Play Season Pass]]="Yes",tbl_xbox[[#This Row],[Minecraft Season Pass]]="Yes"),"Yes","No")</f>
        <v>No</v>
      </c>
      <c r="P40" s="40">
        <f>tbl_xbox[[#This Row],[Subscription Price]]+tbl_xbox[[#This Row],[EA Play Season Pass
Price]]+tbl_xbox[[#This Row],[Minecraft Season Pass Price]]</f>
        <v>5</v>
      </c>
      <c r="Q40" s="41">
        <f>VLOOKUP(tbl_xbox[[#This Row],[Plan]],tbl_apoio5[#All],2,FALSE)</f>
        <v>0</v>
      </c>
      <c r="R40" s="41">
        <f>VLOOKUP(tbl_xbox[[#This Row],[EA Play Season Pass]],tbl_apoio5[[EA Play Season Pass]:[output2]],2,FALSE)</f>
        <v>0</v>
      </c>
      <c r="S40" s="41">
        <f>VLOOKUP(tbl_xbox[[#This Row],[Minecraft Season Pass]],tbl_apoio5[[Minecraft Season Pass]:[Minecraft Season Pass2]],2,FALSE)</f>
        <v>0</v>
      </c>
      <c r="T40" s="41">
        <f>SUM(tbl_xbox[[#This Row],[Plan2]:[Minecraft Season Pass2]])</f>
        <v>0</v>
      </c>
      <c r="U40" s="40" t="str">
        <f>VLOOKUP(tbl_xbox[[#This Row],[soma]],tbl_apoio5[[#All],[soma]:[output2]],2,FALSE)</f>
        <v>No Extras</v>
      </c>
      <c r="V40" s="7"/>
    </row>
    <row r="41" spans="1:22" ht="16.5" customHeight="1" x14ac:dyDescent="0.2">
      <c r="A41" s="4">
        <v>3270</v>
      </c>
      <c r="B41" s="4" t="s">
        <v>60</v>
      </c>
      <c r="C41" s="4" t="s">
        <v>10</v>
      </c>
      <c r="D41" s="6">
        <v>45387</v>
      </c>
      <c r="E41" s="4" t="s">
        <v>11</v>
      </c>
      <c r="F41" s="7">
        <v>15</v>
      </c>
      <c r="G41" s="4" t="s">
        <v>12</v>
      </c>
      <c r="H41" s="4" t="s">
        <v>11</v>
      </c>
      <c r="I41" s="7">
        <v>30</v>
      </c>
      <c r="J41" s="4" t="s">
        <v>11</v>
      </c>
      <c r="K41" s="7">
        <v>20</v>
      </c>
      <c r="L41" s="7">
        <v>15</v>
      </c>
      <c r="M41" s="7">
        <v>50</v>
      </c>
      <c r="N41" s="40" t="str">
        <f>IF(tbl_xbox[[#This Row],[Coupon Value]]=$L$3,"No","Yes")</f>
        <v>Yes</v>
      </c>
      <c r="O41" s="40" t="str">
        <f>IF(OR(tbl_xbox[[#This Row],[EA Play Season Pass]]="Yes",tbl_xbox[[#This Row],[Minecraft Season Pass]]="Yes"),"Yes","No")</f>
        <v>Yes</v>
      </c>
      <c r="P41" s="40">
        <f>tbl_xbox[[#This Row],[Subscription Price]]+tbl_xbox[[#This Row],[EA Play Season Pass
Price]]+tbl_xbox[[#This Row],[Minecraft Season Pass Price]]</f>
        <v>65</v>
      </c>
      <c r="Q41" s="41">
        <f>VLOOKUP(tbl_xbox[[#This Row],[Plan]],tbl_apoio5[#All],2,FALSE)</f>
        <v>2</v>
      </c>
      <c r="R41" s="41">
        <f>VLOOKUP(tbl_xbox[[#This Row],[EA Play Season Pass]],tbl_apoio5[[EA Play Season Pass]:[output2]],2,FALSE)</f>
        <v>3</v>
      </c>
      <c r="S41" s="41">
        <f>VLOOKUP(tbl_xbox[[#This Row],[Minecraft Season Pass]],tbl_apoio5[[Minecraft Season Pass]:[Minecraft Season Pass2]],2,FALSE)</f>
        <v>6</v>
      </c>
      <c r="T41" s="41">
        <f>SUM(tbl_xbox[[#This Row],[Plan2]:[Minecraft Season Pass2]])</f>
        <v>11</v>
      </c>
      <c r="U41" s="40" t="str">
        <f>VLOOKUP(tbl_xbox[[#This Row],[soma]],tbl_apoio5[[#All],[soma]:[output2]],2,FALSE)</f>
        <v>EA Play + Minecraft</v>
      </c>
      <c r="V41" s="7"/>
    </row>
    <row r="42" spans="1:22" ht="16.5" customHeight="1" x14ac:dyDescent="0.2">
      <c r="A42" s="4">
        <v>3271</v>
      </c>
      <c r="B42" s="4" t="s">
        <v>61</v>
      </c>
      <c r="C42" s="4" t="s">
        <v>18</v>
      </c>
      <c r="D42" s="6">
        <v>45388</v>
      </c>
      <c r="E42" s="4" t="s">
        <v>15</v>
      </c>
      <c r="F42" s="7">
        <v>10</v>
      </c>
      <c r="G42" s="4" t="s">
        <v>12</v>
      </c>
      <c r="H42" s="4" t="s">
        <v>15</v>
      </c>
      <c r="I42" s="7">
        <v>0</v>
      </c>
      <c r="J42" s="4" t="s">
        <v>11</v>
      </c>
      <c r="K42" s="7">
        <v>20</v>
      </c>
      <c r="L42" s="7">
        <v>5</v>
      </c>
      <c r="M42" s="7">
        <v>25</v>
      </c>
      <c r="N42" s="40" t="str">
        <f>IF(tbl_xbox[[#This Row],[Coupon Value]]=$L$3,"No","Yes")</f>
        <v>Yes</v>
      </c>
      <c r="O42" s="40" t="str">
        <f>IF(OR(tbl_xbox[[#This Row],[EA Play Season Pass]]="Yes",tbl_xbox[[#This Row],[Minecraft Season Pass]]="Yes"),"Yes","No")</f>
        <v>Yes</v>
      </c>
      <c r="P42" s="40">
        <f>tbl_xbox[[#This Row],[Subscription Price]]+tbl_xbox[[#This Row],[EA Play Season Pass
Price]]+tbl_xbox[[#This Row],[Minecraft Season Pass Price]]</f>
        <v>30</v>
      </c>
      <c r="Q42" s="41">
        <f>VLOOKUP(tbl_xbox[[#This Row],[Plan]],tbl_apoio5[#All],2,FALSE)</f>
        <v>1</v>
      </c>
      <c r="R42" s="41">
        <f>VLOOKUP(tbl_xbox[[#This Row],[EA Play Season Pass]],tbl_apoio5[[EA Play Season Pass]:[output2]],2,FALSE)</f>
        <v>0</v>
      </c>
      <c r="S42" s="41">
        <f>VLOOKUP(tbl_xbox[[#This Row],[Minecraft Season Pass]],tbl_apoio5[[Minecraft Season Pass]:[Minecraft Season Pass2]],2,FALSE)</f>
        <v>6</v>
      </c>
      <c r="T42" s="41">
        <f>SUM(tbl_xbox[[#This Row],[Plan2]:[Minecraft Season Pass2]])</f>
        <v>7</v>
      </c>
      <c r="U42" s="40" t="str">
        <f>VLOOKUP(tbl_xbox[[#This Row],[soma]],tbl_apoio5[[#All],[soma]:[output2]],2,FALSE)</f>
        <v>Minecraft</v>
      </c>
      <c r="V42" s="7"/>
    </row>
    <row r="43" spans="1:22" ht="16.5" customHeight="1" x14ac:dyDescent="0.2">
      <c r="A43" s="4">
        <v>3272</v>
      </c>
      <c r="B43" s="4" t="s">
        <v>62</v>
      </c>
      <c r="C43" s="4" t="s">
        <v>14</v>
      </c>
      <c r="D43" s="6">
        <v>45389</v>
      </c>
      <c r="E43" s="4" t="s">
        <v>11</v>
      </c>
      <c r="F43" s="7">
        <v>5</v>
      </c>
      <c r="G43" s="4" t="s">
        <v>16</v>
      </c>
      <c r="H43" s="4" t="s">
        <v>15</v>
      </c>
      <c r="I43" s="7">
        <v>0</v>
      </c>
      <c r="J43" s="4" t="s">
        <v>15</v>
      </c>
      <c r="K43" s="7">
        <v>0</v>
      </c>
      <c r="L43" s="7">
        <v>0</v>
      </c>
      <c r="M43" s="7">
        <v>5</v>
      </c>
      <c r="N43" s="40" t="str">
        <f>IF(tbl_xbox[[#This Row],[Coupon Value]]=$L$3,"No","Yes")</f>
        <v>No</v>
      </c>
      <c r="O43" s="40" t="str">
        <f>IF(OR(tbl_xbox[[#This Row],[EA Play Season Pass]]="Yes",tbl_xbox[[#This Row],[Minecraft Season Pass]]="Yes"),"Yes","No")</f>
        <v>No</v>
      </c>
      <c r="P43" s="40">
        <f>tbl_xbox[[#This Row],[Subscription Price]]+tbl_xbox[[#This Row],[EA Play Season Pass
Price]]+tbl_xbox[[#This Row],[Minecraft Season Pass Price]]</f>
        <v>5</v>
      </c>
      <c r="Q43" s="41">
        <f>VLOOKUP(tbl_xbox[[#This Row],[Plan]],tbl_apoio5[#All],2,FALSE)</f>
        <v>0</v>
      </c>
      <c r="R43" s="41">
        <f>VLOOKUP(tbl_xbox[[#This Row],[EA Play Season Pass]],tbl_apoio5[[EA Play Season Pass]:[output2]],2,FALSE)</f>
        <v>0</v>
      </c>
      <c r="S43" s="41">
        <f>VLOOKUP(tbl_xbox[[#This Row],[Minecraft Season Pass]],tbl_apoio5[[Minecraft Season Pass]:[Minecraft Season Pass2]],2,FALSE)</f>
        <v>0</v>
      </c>
      <c r="T43" s="41">
        <f>SUM(tbl_xbox[[#This Row],[Plan2]:[Minecraft Season Pass2]])</f>
        <v>0</v>
      </c>
      <c r="U43" s="40" t="str">
        <f>VLOOKUP(tbl_xbox[[#This Row],[soma]],tbl_apoio5[[#All],[soma]:[output2]],2,FALSE)</f>
        <v>No Extras</v>
      </c>
      <c r="V43" s="7"/>
    </row>
    <row r="44" spans="1:22" ht="16.5" customHeight="1" x14ac:dyDescent="0.2">
      <c r="A44" s="4">
        <v>3273</v>
      </c>
      <c r="B44" s="4" t="s">
        <v>63</v>
      </c>
      <c r="C44" s="4" t="s">
        <v>10</v>
      </c>
      <c r="D44" s="6">
        <v>45390</v>
      </c>
      <c r="E44" s="4" t="s">
        <v>15</v>
      </c>
      <c r="F44" s="7">
        <v>15</v>
      </c>
      <c r="G44" s="4" t="s">
        <v>19</v>
      </c>
      <c r="H44" s="4" t="s">
        <v>11</v>
      </c>
      <c r="I44" s="7">
        <v>30</v>
      </c>
      <c r="J44" s="4" t="s">
        <v>11</v>
      </c>
      <c r="K44" s="7">
        <v>20</v>
      </c>
      <c r="L44" s="7">
        <v>20</v>
      </c>
      <c r="M44" s="7">
        <v>45</v>
      </c>
      <c r="N44" s="40" t="str">
        <f>IF(tbl_xbox[[#This Row],[Coupon Value]]=$L$3,"No","Yes")</f>
        <v>Yes</v>
      </c>
      <c r="O44" s="40" t="str">
        <f>IF(OR(tbl_xbox[[#This Row],[EA Play Season Pass]]="Yes",tbl_xbox[[#This Row],[Minecraft Season Pass]]="Yes"),"Yes","No")</f>
        <v>Yes</v>
      </c>
      <c r="P44" s="40">
        <f>tbl_xbox[[#This Row],[Subscription Price]]+tbl_xbox[[#This Row],[EA Play Season Pass
Price]]+tbl_xbox[[#This Row],[Minecraft Season Pass Price]]</f>
        <v>65</v>
      </c>
      <c r="Q44" s="41">
        <f>VLOOKUP(tbl_xbox[[#This Row],[Plan]],tbl_apoio5[#All],2,FALSE)</f>
        <v>2</v>
      </c>
      <c r="R44" s="41">
        <f>VLOOKUP(tbl_xbox[[#This Row],[EA Play Season Pass]],tbl_apoio5[[EA Play Season Pass]:[output2]],2,FALSE)</f>
        <v>3</v>
      </c>
      <c r="S44" s="41">
        <f>VLOOKUP(tbl_xbox[[#This Row],[Minecraft Season Pass]],tbl_apoio5[[Minecraft Season Pass]:[Minecraft Season Pass2]],2,FALSE)</f>
        <v>6</v>
      </c>
      <c r="T44" s="41">
        <f>SUM(tbl_xbox[[#This Row],[Plan2]:[Minecraft Season Pass2]])</f>
        <v>11</v>
      </c>
      <c r="U44" s="40" t="str">
        <f>VLOOKUP(tbl_xbox[[#This Row],[soma]],tbl_apoio5[[#All],[soma]:[output2]],2,FALSE)</f>
        <v>EA Play + Minecraft</v>
      </c>
      <c r="V44" s="7"/>
    </row>
    <row r="45" spans="1:22" ht="16.5" customHeight="1" x14ac:dyDescent="0.2">
      <c r="A45" s="4">
        <v>3274</v>
      </c>
      <c r="B45" s="4" t="s">
        <v>64</v>
      </c>
      <c r="C45" s="4" t="s">
        <v>18</v>
      </c>
      <c r="D45" s="6">
        <v>45391</v>
      </c>
      <c r="E45" s="4" t="s">
        <v>11</v>
      </c>
      <c r="F45" s="7">
        <v>10</v>
      </c>
      <c r="G45" s="4" t="s">
        <v>19</v>
      </c>
      <c r="H45" s="4" t="s">
        <v>15</v>
      </c>
      <c r="I45" s="7">
        <v>0</v>
      </c>
      <c r="J45" s="4" t="s">
        <v>11</v>
      </c>
      <c r="K45" s="7">
        <v>20</v>
      </c>
      <c r="L45" s="7">
        <v>12</v>
      </c>
      <c r="M45" s="7">
        <v>18</v>
      </c>
      <c r="N45" s="40" t="str">
        <f>IF(tbl_xbox[[#This Row],[Coupon Value]]=$L$3,"No","Yes")</f>
        <v>Yes</v>
      </c>
      <c r="O45" s="40" t="str">
        <f>IF(OR(tbl_xbox[[#This Row],[EA Play Season Pass]]="Yes",tbl_xbox[[#This Row],[Minecraft Season Pass]]="Yes"),"Yes","No")</f>
        <v>Yes</v>
      </c>
      <c r="P45" s="40">
        <f>tbl_xbox[[#This Row],[Subscription Price]]+tbl_xbox[[#This Row],[EA Play Season Pass
Price]]+tbl_xbox[[#This Row],[Minecraft Season Pass Price]]</f>
        <v>30</v>
      </c>
      <c r="Q45" s="41">
        <f>VLOOKUP(tbl_xbox[[#This Row],[Plan]],tbl_apoio5[#All],2,FALSE)</f>
        <v>1</v>
      </c>
      <c r="R45" s="41">
        <f>VLOOKUP(tbl_xbox[[#This Row],[EA Play Season Pass]],tbl_apoio5[[EA Play Season Pass]:[output2]],2,FALSE)</f>
        <v>0</v>
      </c>
      <c r="S45" s="41">
        <f>VLOOKUP(tbl_xbox[[#This Row],[Minecraft Season Pass]],tbl_apoio5[[Minecraft Season Pass]:[Minecraft Season Pass2]],2,FALSE)</f>
        <v>6</v>
      </c>
      <c r="T45" s="41">
        <f>SUM(tbl_xbox[[#This Row],[Plan2]:[Minecraft Season Pass2]])</f>
        <v>7</v>
      </c>
      <c r="U45" s="40" t="str">
        <f>VLOOKUP(tbl_xbox[[#This Row],[soma]],tbl_apoio5[[#All],[soma]:[output2]],2,FALSE)</f>
        <v>Minecraft</v>
      </c>
      <c r="V45" s="7"/>
    </row>
    <row r="46" spans="1:22" ht="16.5" customHeight="1" x14ac:dyDescent="0.2">
      <c r="A46" s="4">
        <v>3275</v>
      </c>
      <c r="B46" s="4" t="s">
        <v>65</v>
      </c>
      <c r="C46" s="4" t="s">
        <v>14</v>
      </c>
      <c r="D46" s="6">
        <v>45392</v>
      </c>
      <c r="E46" s="4" t="s">
        <v>15</v>
      </c>
      <c r="F46" s="7">
        <v>5</v>
      </c>
      <c r="G46" s="4" t="s">
        <v>12</v>
      </c>
      <c r="H46" s="4" t="s">
        <v>15</v>
      </c>
      <c r="I46" s="7">
        <v>0</v>
      </c>
      <c r="J46" s="4" t="s">
        <v>15</v>
      </c>
      <c r="K46" s="7">
        <v>0</v>
      </c>
      <c r="L46" s="7">
        <v>2</v>
      </c>
      <c r="M46" s="7">
        <v>3</v>
      </c>
      <c r="N46" s="40" t="str">
        <f>IF(tbl_xbox[[#This Row],[Coupon Value]]=$L$3,"No","Yes")</f>
        <v>Yes</v>
      </c>
      <c r="O46" s="40" t="str">
        <f>IF(OR(tbl_xbox[[#This Row],[EA Play Season Pass]]="Yes",tbl_xbox[[#This Row],[Minecraft Season Pass]]="Yes"),"Yes","No")</f>
        <v>No</v>
      </c>
      <c r="P46" s="40">
        <f>tbl_xbox[[#This Row],[Subscription Price]]+tbl_xbox[[#This Row],[EA Play Season Pass
Price]]+tbl_xbox[[#This Row],[Minecraft Season Pass Price]]</f>
        <v>5</v>
      </c>
      <c r="Q46" s="41">
        <f>VLOOKUP(tbl_xbox[[#This Row],[Plan]],tbl_apoio5[#All],2,FALSE)</f>
        <v>0</v>
      </c>
      <c r="R46" s="41">
        <f>VLOOKUP(tbl_xbox[[#This Row],[EA Play Season Pass]],tbl_apoio5[[EA Play Season Pass]:[output2]],2,FALSE)</f>
        <v>0</v>
      </c>
      <c r="S46" s="41">
        <f>VLOOKUP(tbl_xbox[[#This Row],[Minecraft Season Pass]],tbl_apoio5[[Minecraft Season Pass]:[Minecraft Season Pass2]],2,FALSE)</f>
        <v>0</v>
      </c>
      <c r="T46" s="41">
        <f>SUM(tbl_xbox[[#This Row],[Plan2]:[Minecraft Season Pass2]])</f>
        <v>0</v>
      </c>
      <c r="U46" s="40" t="str">
        <f>VLOOKUP(tbl_xbox[[#This Row],[soma]],tbl_apoio5[[#All],[soma]:[output2]],2,FALSE)</f>
        <v>No Extras</v>
      </c>
      <c r="V46" s="7"/>
    </row>
    <row r="47" spans="1:22" ht="16.5" customHeight="1" x14ac:dyDescent="0.2">
      <c r="A47" s="4">
        <v>3276</v>
      </c>
      <c r="B47" s="4" t="s">
        <v>66</v>
      </c>
      <c r="C47" s="4" t="s">
        <v>10</v>
      </c>
      <c r="D47" s="6">
        <v>45393</v>
      </c>
      <c r="E47" s="4" t="s">
        <v>11</v>
      </c>
      <c r="F47" s="7">
        <v>15</v>
      </c>
      <c r="G47" s="4" t="s">
        <v>16</v>
      </c>
      <c r="H47" s="4" t="s">
        <v>11</v>
      </c>
      <c r="I47" s="7">
        <v>30</v>
      </c>
      <c r="J47" s="4" t="s">
        <v>11</v>
      </c>
      <c r="K47" s="7">
        <v>20</v>
      </c>
      <c r="L47" s="7">
        <v>5</v>
      </c>
      <c r="M47" s="7">
        <v>60</v>
      </c>
      <c r="N47" s="40" t="str">
        <f>IF(tbl_xbox[[#This Row],[Coupon Value]]=$L$3,"No","Yes")</f>
        <v>Yes</v>
      </c>
      <c r="O47" s="40" t="str">
        <f>IF(OR(tbl_xbox[[#This Row],[EA Play Season Pass]]="Yes",tbl_xbox[[#This Row],[Minecraft Season Pass]]="Yes"),"Yes","No")</f>
        <v>Yes</v>
      </c>
      <c r="P47" s="40">
        <f>tbl_xbox[[#This Row],[Subscription Price]]+tbl_xbox[[#This Row],[EA Play Season Pass
Price]]+tbl_xbox[[#This Row],[Minecraft Season Pass Price]]</f>
        <v>65</v>
      </c>
      <c r="Q47" s="41">
        <f>VLOOKUP(tbl_xbox[[#This Row],[Plan]],tbl_apoio5[#All],2,FALSE)</f>
        <v>2</v>
      </c>
      <c r="R47" s="41">
        <f>VLOOKUP(tbl_xbox[[#This Row],[EA Play Season Pass]],tbl_apoio5[[EA Play Season Pass]:[output2]],2,FALSE)</f>
        <v>3</v>
      </c>
      <c r="S47" s="41">
        <f>VLOOKUP(tbl_xbox[[#This Row],[Minecraft Season Pass]],tbl_apoio5[[Minecraft Season Pass]:[Minecraft Season Pass2]],2,FALSE)</f>
        <v>6</v>
      </c>
      <c r="T47" s="41">
        <f>SUM(tbl_xbox[[#This Row],[Plan2]:[Minecraft Season Pass2]])</f>
        <v>11</v>
      </c>
      <c r="U47" s="40" t="str">
        <f>VLOOKUP(tbl_xbox[[#This Row],[soma]],tbl_apoio5[[#All],[soma]:[output2]],2,FALSE)</f>
        <v>EA Play + Minecraft</v>
      </c>
      <c r="V47" s="7"/>
    </row>
    <row r="48" spans="1:22" ht="16.5" customHeight="1" x14ac:dyDescent="0.2">
      <c r="A48" s="4">
        <v>3277</v>
      </c>
      <c r="B48" s="4" t="s">
        <v>67</v>
      </c>
      <c r="C48" s="4" t="s">
        <v>18</v>
      </c>
      <c r="D48" s="6">
        <v>45394</v>
      </c>
      <c r="E48" s="4" t="s">
        <v>15</v>
      </c>
      <c r="F48" s="7">
        <v>10</v>
      </c>
      <c r="G48" s="4" t="s">
        <v>12</v>
      </c>
      <c r="H48" s="4" t="s">
        <v>15</v>
      </c>
      <c r="I48" s="7">
        <v>0</v>
      </c>
      <c r="J48" s="4" t="s">
        <v>11</v>
      </c>
      <c r="K48" s="7">
        <v>20</v>
      </c>
      <c r="L48" s="7">
        <v>10</v>
      </c>
      <c r="M48" s="7">
        <v>20</v>
      </c>
      <c r="N48" s="40" t="str">
        <f>IF(tbl_xbox[[#This Row],[Coupon Value]]=$L$3,"No","Yes")</f>
        <v>Yes</v>
      </c>
      <c r="O48" s="40" t="str">
        <f>IF(OR(tbl_xbox[[#This Row],[EA Play Season Pass]]="Yes",tbl_xbox[[#This Row],[Minecraft Season Pass]]="Yes"),"Yes","No")</f>
        <v>Yes</v>
      </c>
      <c r="P48" s="40">
        <f>tbl_xbox[[#This Row],[Subscription Price]]+tbl_xbox[[#This Row],[EA Play Season Pass
Price]]+tbl_xbox[[#This Row],[Minecraft Season Pass Price]]</f>
        <v>30</v>
      </c>
      <c r="Q48" s="41">
        <f>VLOOKUP(tbl_xbox[[#This Row],[Plan]],tbl_apoio5[#All],2,FALSE)</f>
        <v>1</v>
      </c>
      <c r="R48" s="41">
        <f>VLOOKUP(tbl_xbox[[#This Row],[EA Play Season Pass]],tbl_apoio5[[EA Play Season Pass]:[output2]],2,FALSE)</f>
        <v>0</v>
      </c>
      <c r="S48" s="41">
        <f>VLOOKUP(tbl_xbox[[#This Row],[Minecraft Season Pass]],tbl_apoio5[[Minecraft Season Pass]:[Minecraft Season Pass2]],2,FALSE)</f>
        <v>6</v>
      </c>
      <c r="T48" s="41">
        <f>SUM(tbl_xbox[[#This Row],[Plan2]:[Minecraft Season Pass2]])</f>
        <v>7</v>
      </c>
      <c r="U48" s="40" t="str">
        <f>VLOOKUP(tbl_xbox[[#This Row],[soma]],tbl_apoio5[[#All],[soma]:[output2]],2,FALSE)</f>
        <v>Minecraft</v>
      </c>
      <c r="V48" s="7"/>
    </row>
    <row r="49" spans="1:22" ht="16.5" customHeight="1" x14ac:dyDescent="0.2">
      <c r="A49" s="4">
        <v>3278</v>
      </c>
      <c r="B49" s="4" t="s">
        <v>68</v>
      </c>
      <c r="C49" s="4" t="s">
        <v>14</v>
      </c>
      <c r="D49" s="6">
        <v>45395</v>
      </c>
      <c r="E49" s="4" t="s">
        <v>11</v>
      </c>
      <c r="F49" s="7">
        <v>5</v>
      </c>
      <c r="G49" s="4" t="s">
        <v>19</v>
      </c>
      <c r="H49" s="4" t="s">
        <v>15</v>
      </c>
      <c r="I49" s="7">
        <v>0</v>
      </c>
      <c r="J49" s="4" t="s">
        <v>15</v>
      </c>
      <c r="K49" s="7">
        <v>0</v>
      </c>
      <c r="L49" s="7">
        <v>0</v>
      </c>
      <c r="M49" s="7">
        <v>5</v>
      </c>
      <c r="N49" s="40" t="str">
        <f>IF(tbl_xbox[[#This Row],[Coupon Value]]=$L$3,"No","Yes")</f>
        <v>No</v>
      </c>
      <c r="O49" s="40" t="str">
        <f>IF(OR(tbl_xbox[[#This Row],[EA Play Season Pass]]="Yes",tbl_xbox[[#This Row],[Minecraft Season Pass]]="Yes"),"Yes","No")</f>
        <v>No</v>
      </c>
      <c r="P49" s="40">
        <f>tbl_xbox[[#This Row],[Subscription Price]]+tbl_xbox[[#This Row],[EA Play Season Pass
Price]]+tbl_xbox[[#This Row],[Minecraft Season Pass Price]]</f>
        <v>5</v>
      </c>
      <c r="Q49" s="41">
        <f>VLOOKUP(tbl_xbox[[#This Row],[Plan]],tbl_apoio5[#All],2,FALSE)</f>
        <v>0</v>
      </c>
      <c r="R49" s="41">
        <f>VLOOKUP(tbl_xbox[[#This Row],[EA Play Season Pass]],tbl_apoio5[[EA Play Season Pass]:[output2]],2,FALSE)</f>
        <v>0</v>
      </c>
      <c r="S49" s="41">
        <f>VLOOKUP(tbl_xbox[[#This Row],[Minecraft Season Pass]],tbl_apoio5[[Minecraft Season Pass]:[Minecraft Season Pass2]],2,FALSE)</f>
        <v>0</v>
      </c>
      <c r="T49" s="41">
        <f>SUM(tbl_xbox[[#This Row],[Plan2]:[Minecraft Season Pass2]])</f>
        <v>0</v>
      </c>
      <c r="U49" s="40" t="str">
        <f>VLOOKUP(tbl_xbox[[#This Row],[soma]],tbl_apoio5[[#All],[soma]:[output2]],2,FALSE)</f>
        <v>No Extras</v>
      </c>
      <c r="V49" s="7"/>
    </row>
    <row r="50" spans="1:22" ht="16.5" customHeight="1" x14ac:dyDescent="0.2">
      <c r="A50" s="4">
        <v>3279</v>
      </c>
      <c r="B50" s="4" t="s">
        <v>69</v>
      </c>
      <c r="C50" s="4" t="s">
        <v>10</v>
      </c>
      <c r="D50" s="6">
        <v>45396</v>
      </c>
      <c r="E50" s="4" t="s">
        <v>15</v>
      </c>
      <c r="F50" s="7">
        <v>15</v>
      </c>
      <c r="G50" s="4" t="s">
        <v>12</v>
      </c>
      <c r="H50" s="4" t="s">
        <v>11</v>
      </c>
      <c r="I50" s="7">
        <v>30</v>
      </c>
      <c r="J50" s="4" t="s">
        <v>11</v>
      </c>
      <c r="K50" s="7">
        <v>20</v>
      </c>
      <c r="L50" s="7">
        <v>3</v>
      </c>
      <c r="M50" s="7">
        <v>62</v>
      </c>
      <c r="N50" s="40" t="str">
        <f>IF(tbl_xbox[[#This Row],[Coupon Value]]=$L$3,"No","Yes")</f>
        <v>Yes</v>
      </c>
      <c r="O50" s="40" t="str">
        <f>IF(OR(tbl_xbox[[#This Row],[EA Play Season Pass]]="Yes",tbl_xbox[[#This Row],[Minecraft Season Pass]]="Yes"),"Yes","No")</f>
        <v>Yes</v>
      </c>
      <c r="P50" s="40">
        <f>tbl_xbox[[#This Row],[Subscription Price]]+tbl_xbox[[#This Row],[EA Play Season Pass
Price]]+tbl_xbox[[#This Row],[Minecraft Season Pass Price]]</f>
        <v>65</v>
      </c>
      <c r="Q50" s="41">
        <f>VLOOKUP(tbl_xbox[[#This Row],[Plan]],tbl_apoio5[#All],2,FALSE)</f>
        <v>2</v>
      </c>
      <c r="R50" s="41">
        <f>VLOOKUP(tbl_xbox[[#This Row],[EA Play Season Pass]],tbl_apoio5[[EA Play Season Pass]:[output2]],2,FALSE)</f>
        <v>3</v>
      </c>
      <c r="S50" s="41">
        <f>VLOOKUP(tbl_xbox[[#This Row],[Minecraft Season Pass]],tbl_apoio5[[Minecraft Season Pass]:[Minecraft Season Pass2]],2,FALSE)</f>
        <v>6</v>
      </c>
      <c r="T50" s="41">
        <f>SUM(tbl_xbox[[#This Row],[Plan2]:[Minecraft Season Pass2]])</f>
        <v>11</v>
      </c>
      <c r="U50" s="40" t="str">
        <f>VLOOKUP(tbl_xbox[[#This Row],[soma]],tbl_apoio5[[#All],[soma]:[output2]],2,FALSE)</f>
        <v>EA Play + Minecraft</v>
      </c>
      <c r="V50" s="7"/>
    </row>
    <row r="51" spans="1:22" ht="16.5" customHeight="1" x14ac:dyDescent="0.2">
      <c r="A51" s="4">
        <v>3280</v>
      </c>
      <c r="B51" s="4" t="s">
        <v>70</v>
      </c>
      <c r="C51" s="4" t="s">
        <v>18</v>
      </c>
      <c r="D51" s="6">
        <v>45397</v>
      </c>
      <c r="E51" s="4" t="s">
        <v>11</v>
      </c>
      <c r="F51" s="7">
        <v>10</v>
      </c>
      <c r="G51" s="4" t="s">
        <v>16</v>
      </c>
      <c r="H51" s="4" t="s">
        <v>15</v>
      </c>
      <c r="I51" s="7">
        <v>0</v>
      </c>
      <c r="J51" s="4" t="s">
        <v>11</v>
      </c>
      <c r="K51" s="7">
        <v>20</v>
      </c>
      <c r="L51" s="7">
        <v>15</v>
      </c>
      <c r="M51" s="7">
        <v>15</v>
      </c>
      <c r="N51" s="40" t="str">
        <f>IF(tbl_xbox[[#This Row],[Coupon Value]]=$L$3,"No","Yes")</f>
        <v>Yes</v>
      </c>
      <c r="O51" s="40" t="str">
        <f>IF(OR(tbl_xbox[[#This Row],[EA Play Season Pass]]="Yes",tbl_xbox[[#This Row],[Minecraft Season Pass]]="Yes"),"Yes","No")</f>
        <v>Yes</v>
      </c>
      <c r="P51" s="40">
        <f>tbl_xbox[[#This Row],[Subscription Price]]+tbl_xbox[[#This Row],[EA Play Season Pass
Price]]+tbl_xbox[[#This Row],[Minecraft Season Pass Price]]</f>
        <v>30</v>
      </c>
      <c r="Q51" s="41">
        <f>VLOOKUP(tbl_xbox[[#This Row],[Plan]],tbl_apoio5[#All],2,FALSE)</f>
        <v>1</v>
      </c>
      <c r="R51" s="41">
        <f>VLOOKUP(tbl_xbox[[#This Row],[EA Play Season Pass]],tbl_apoio5[[EA Play Season Pass]:[output2]],2,FALSE)</f>
        <v>0</v>
      </c>
      <c r="S51" s="41">
        <f>VLOOKUP(tbl_xbox[[#This Row],[Minecraft Season Pass]],tbl_apoio5[[Minecraft Season Pass]:[Minecraft Season Pass2]],2,FALSE)</f>
        <v>6</v>
      </c>
      <c r="T51" s="41">
        <f>SUM(tbl_xbox[[#This Row],[Plan2]:[Minecraft Season Pass2]])</f>
        <v>7</v>
      </c>
      <c r="U51" s="40" t="str">
        <f>VLOOKUP(tbl_xbox[[#This Row],[soma]],tbl_apoio5[[#All],[soma]:[output2]],2,FALSE)</f>
        <v>Minecraft</v>
      </c>
      <c r="V51" s="7"/>
    </row>
    <row r="52" spans="1:22" ht="16.5" customHeight="1" x14ac:dyDescent="0.2">
      <c r="A52" s="4">
        <v>3281</v>
      </c>
      <c r="B52" s="4" t="s">
        <v>71</v>
      </c>
      <c r="C52" s="4" t="s">
        <v>14</v>
      </c>
      <c r="D52" s="6">
        <v>45398</v>
      </c>
      <c r="E52" s="4" t="s">
        <v>15</v>
      </c>
      <c r="F52" s="7">
        <v>5</v>
      </c>
      <c r="G52" s="4" t="s">
        <v>12</v>
      </c>
      <c r="H52" s="4" t="s">
        <v>15</v>
      </c>
      <c r="I52" s="7">
        <v>0</v>
      </c>
      <c r="J52" s="4" t="s">
        <v>15</v>
      </c>
      <c r="K52" s="7">
        <v>0</v>
      </c>
      <c r="L52" s="7">
        <v>1</v>
      </c>
      <c r="M52" s="7">
        <v>4</v>
      </c>
      <c r="N52" s="40" t="str">
        <f>IF(tbl_xbox[[#This Row],[Coupon Value]]=$L$3,"No","Yes")</f>
        <v>Yes</v>
      </c>
      <c r="O52" s="40" t="str">
        <f>IF(OR(tbl_xbox[[#This Row],[EA Play Season Pass]]="Yes",tbl_xbox[[#This Row],[Minecraft Season Pass]]="Yes"),"Yes","No")</f>
        <v>No</v>
      </c>
      <c r="P52" s="40">
        <f>tbl_xbox[[#This Row],[Subscription Price]]+tbl_xbox[[#This Row],[EA Play Season Pass
Price]]+tbl_xbox[[#This Row],[Minecraft Season Pass Price]]</f>
        <v>5</v>
      </c>
      <c r="Q52" s="41">
        <f>VLOOKUP(tbl_xbox[[#This Row],[Plan]],tbl_apoio5[#All],2,FALSE)</f>
        <v>0</v>
      </c>
      <c r="R52" s="41">
        <f>VLOOKUP(tbl_xbox[[#This Row],[EA Play Season Pass]],tbl_apoio5[[EA Play Season Pass]:[output2]],2,FALSE)</f>
        <v>0</v>
      </c>
      <c r="S52" s="41">
        <f>VLOOKUP(tbl_xbox[[#This Row],[Minecraft Season Pass]],tbl_apoio5[[Minecraft Season Pass]:[Minecraft Season Pass2]],2,FALSE)</f>
        <v>0</v>
      </c>
      <c r="T52" s="41">
        <f>SUM(tbl_xbox[[#This Row],[Plan2]:[Minecraft Season Pass2]])</f>
        <v>0</v>
      </c>
      <c r="U52" s="40" t="str">
        <f>VLOOKUP(tbl_xbox[[#This Row],[soma]],tbl_apoio5[[#All],[soma]:[output2]],2,FALSE)</f>
        <v>No Extras</v>
      </c>
      <c r="V52" s="7"/>
    </row>
    <row r="53" spans="1:22" ht="16.5" customHeight="1" x14ac:dyDescent="0.2">
      <c r="A53" s="4">
        <v>3282</v>
      </c>
      <c r="B53" s="4" t="s">
        <v>72</v>
      </c>
      <c r="C53" s="4" t="s">
        <v>10</v>
      </c>
      <c r="D53" s="6">
        <v>45399</v>
      </c>
      <c r="E53" s="4" t="s">
        <v>11</v>
      </c>
      <c r="F53" s="7">
        <v>15</v>
      </c>
      <c r="G53" s="4" t="s">
        <v>19</v>
      </c>
      <c r="H53" s="4" t="s">
        <v>11</v>
      </c>
      <c r="I53" s="7">
        <v>30</v>
      </c>
      <c r="J53" s="4" t="s">
        <v>11</v>
      </c>
      <c r="K53" s="7">
        <v>20</v>
      </c>
      <c r="L53" s="7">
        <v>7</v>
      </c>
      <c r="M53" s="7">
        <v>58</v>
      </c>
      <c r="N53" s="40" t="str">
        <f>IF(tbl_xbox[[#This Row],[Coupon Value]]=$L$3,"No","Yes")</f>
        <v>Yes</v>
      </c>
      <c r="O53" s="40" t="str">
        <f>IF(OR(tbl_xbox[[#This Row],[EA Play Season Pass]]="Yes",tbl_xbox[[#This Row],[Minecraft Season Pass]]="Yes"),"Yes","No")</f>
        <v>Yes</v>
      </c>
      <c r="P53" s="40">
        <f>tbl_xbox[[#This Row],[Subscription Price]]+tbl_xbox[[#This Row],[EA Play Season Pass
Price]]+tbl_xbox[[#This Row],[Minecraft Season Pass Price]]</f>
        <v>65</v>
      </c>
      <c r="Q53" s="41">
        <f>VLOOKUP(tbl_xbox[[#This Row],[Plan]],tbl_apoio5[#All],2,FALSE)</f>
        <v>2</v>
      </c>
      <c r="R53" s="41">
        <f>VLOOKUP(tbl_xbox[[#This Row],[EA Play Season Pass]],tbl_apoio5[[EA Play Season Pass]:[output2]],2,FALSE)</f>
        <v>3</v>
      </c>
      <c r="S53" s="41">
        <f>VLOOKUP(tbl_xbox[[#This Row],[Minecraft Season Pass]],tbl_apoio5[[Minecraft Season Pass]:[Minecraft Season Pass2]],2,FALSE)</f>
        <v>6</v>
      </c>
      <c r="T53" s="41">
        <f>SUM(tbl_xbox[[#This Row],[Plan2]:[Minecraft Season Pass2]])</f>
        <v>11</v>
      </c>
      <c r="U53" s="40" t="str">
        <f>VLOOKUP(tbl_xbox[[#This Row],[soma]],tbl_apoio5[[#All],[soma]:[output2]],2,FALSE)</f>
        <v>EA Play + Minecraft</v>
      </c>
      <c r="V53" s="7"/>
    </row>
    <row r="54" spans="1:22" ht="16.5" customHeight="1" x14ac:dyDescent="0.2">
      <c r="A54" s="4">
        <v>3283</v>
      </c>
      <c r="B54" s="4" t="s">
        <v>73</v>
      </c>
      <c r="C54" s="4" t="s">
        <v>18</v>
      </c>
      <c r="D54" s="6">
        <v>45400</v>
      </c>
      <c r="E54" s="4" t="s">
        <v>15</v>
      </c>
      <c r="F54" s="7">
        <v>10</v>
      </c>
      <c r="G54" s="4" t="s">
        <v>12</v>
      </c>
      <c r="H54" s="4" t="s">
        <v>15</v>
      </c>
      <c r="I54" s="7">
        <v>0</v>
      </c>
      <c r="J54" s="4" t="s">
        <v>11</v>
      </c>
      <c r="K54" s="7">
        <v>20</v>
      </c>
      <c r="L54" s="7">
        <v>10</v>
      </c>
      <c r="M54" s="7">
        <v>20</v>
      </c>
      <c r="N54" s="40" t="str">
        <f>IF(tbl_xbox[[#This Row],[Coupon Value]]=$L$3,"No","Yes")</f>
        <v>Yes</v>
      </c>
      <c r="O54" s="40" t="str">
        <f>IF(OR(tbl_xbox[[#This Row],[EA Play Season Pass]]="Yes",tbl_xbox[[#This Row],[Minecraft Season Pass]]="Yes"),"Yes","No")</f>
        <v>Yes</v>
      </c>
      <c r="P54" s="40">
        <f>tbl_xbox[[#This Row],[Subscription Price]]+tbl_xbox[[#This Row],[EA Play Season Pass
Price]]+tbl_xbox[[#This Row],[Minecraft Season Pass Price]]</f>
        <v>30</v>
      </c>
      <c r="Q54" s="41">
        <f>VLOOKUP(tbl_xbox[[#This Row],[Plan]],tbl_apoio5[#All],2,FALSE)</f>
        <v>1</v>
      </c>
      <c r="R54" s="41">
        <f>VLOOKUP(tbl_xbox[[#This Row],[EA Play Season Pass]],tbl_apoio5[[EA Play Season Pass]:[output2]],2,FALSE)</f>
        <v>0</v>
      </c>
      <c r="S54" s="41">
        <f>VLOOKUP(tbl_xbox[[#This Row],[Minecraft Season Pass]],tbl_apoio5[[Minecraft Season Pass]:[Minecraft Season Pass2]],2,FALSE)</f>
        <v>6</v>
      </c>
      <c r="T54" s="41">
        <f>SUM(tbl_xbox[[#This Row],[Plan2]:[Minecraft Season Pass2]])</f>
        <v>7</v>
      </c>
      <c r="U54" s="40" t="str">
        <f>VLOOKUP(tbl_xbox[[#This Row],[soma]],tbl_apoio5[[#All],[soma]:[output2]],2,FALSE)</f>
        <v>Minecraft</v>
      </c>
      <c r="V54" s="7"/>
    </row>
    <row r="55" spans="1:22" ht="16.5" customHeight="1" x14ac:dyDescent="0.2">
      <c r="A55" s="4">
        <v>3284</v>
      </c>
      <c r="B55" s="4" t="s">
        <v>74</v>
      </c>
      <c r="C55" s="4" t="s">
        <v>14</v>
      </c>
      <c r="D55" s="6">
        <v>45401</v>
      </c>
      <c r="E55" s="4" t="s">
        <v>11</v>
      </c>
      <c r="F55" s="7">
        <v>5</v>
      </c>
      <c r="G55" s="4" t="s">
        <v>16</v>
      </c>
      <c r="H55" s="4" t="s">
        <v>15</v>
      </c>
      <c r="I55" s="7">
        <v>0</v>
      </c>
      <c r="J55" s="4" t="s">
        <v>15</v>
      </c>
      <c r="K55" s="7">
        <v>0</v>
      </c>
      <c r="L55" s="7">
        <v>0</v>
      </c>
      <c r="M55" s="7">
        <v>5</v>
      </c>
      <c r="N55" s="40" t="str">
        <f>IF(tbl_xbox[[#This Row],[Coupon Value]]=$L$3,"No","Yes")</f>
        <v>No</v>
      </c>
      <c r="O55" s="40" t="str">
        <f>IF(OR(tbl_xbox[[#This Row],[EA Play Season Pass]]="Yes",tbl_xbox[[#This Row],[Minecraft Season Pass]]="Yes"),"Yes","No")</f>
        <v>No</v>
      </c>
      <c r="P55" s="40">
        <f>tbl_xbox[[#This Row],[Subscription Price]]+tbl_xbox[[#This Row],[EA Play Season Pass
Price]]+tbl_xbox[[#This Row],[Minecraft Season Pass Price]]</f>
        <v>5</v>
      </c>
      <c r="Q55" s="41">
        <f>VLOOKUP(tbl_xbox[[#This Row],[Plan]],tbl_apoio5[#All],2,FALSE)</f>
        <v>0</v>
      </c>
      <c r="R55" s="41">
        <f>VLOOKUP(tbl_xbox[[#This Row],[EA Play Season Pass]],tbl_apoio5[[EA Play Season Pass]:[output2]],2,FALSE)</f>
        <v>0</v>
      </c>
      <c r="S55" s="41">
        <f>VLOOKUP(tbl_xbox[[#This Row],[Minecraft Season Pass]],tbl_apoio5[[Minecraft Season Pass]:[Minecraft Season Pass2]],2,FALSE)</f>
        <v>0</v>
      </c>
      <c r="T55" s="41">
        <f>SUM(tbl_xbox[[#This Row],[Plan2]:[Minecraft Season Pass2]])</f>
        <v>0</v>
      </c>
      <c r="U55" s="40" t="str">
        <f>VLOOKUP(tbl_xbox[[#This Row],[soma]],tbl_apoio5[[#All],[soma]:[output2]],2,FALSE)</f>
        <v>No Extras</v>
      </c>
      <c r="V55" s="7"/>
    </row>
    <row r="56" spans="1:22" ht="16.5" customHeight="1" x14ac:dyDescent="0.2">
      <c r="A56" s="4">
        <v>3285</v>
      </c>
      <c r="B56" s="4" t="s">
        <v>75</v>
      </c>
      <c r="C56" s="4" t="s">
        <v>10</v>
      </c>
      <c r="D56" s="6">
        <v>45402</v>
      </c>
      <c r="E56" s="4" t="s">
        <v>15</v>
      </c>
      <c r="F56" s="7">
        <v>15</v>
      </c>
      <c r="G56" s="4" t="s">
        <v>12</v>
      </c>
      <c r="H56" s="4" t="s">
        <v>11</v>
      </c>
      <c r="I56" s="7">
        <v>30</v>
      </c>
      <c r="J56" s="4" t="s">
        <v>11</v>
      </c>
      <c r="K56" s="7">
        <v>20</v>
      </c>
      <c r="L56" s="7">
        <v>20</v>
      </c>
      <c r="M56" s="7">
        <v>45</v>
      </c>
      <c r="N56" s="40" t="str">
        <f>IF(tbl_xbox[[#This Row],[Coupon Value]]=$L$3,"No","Yes")</f>
        <v>Yes</v>
      </c>
      <c r="O56" s="40" t="str">
        <f>IF(OR(tbl_xbox[[#This Row],[EA Play Season Pass]]="Yes",tbl_xbox[[#This Row],[Minecraft Season Pass]]="Yes"),"Yes","No")</f>
        <v>Yes</v>
      </c>
      <c r="P56" s="40">
        <f>tbl_xbox[[#This Row],[Subscription Price]]+tbl_xbox[[#This Row],[EA Play Season Pass
Price]]+tbl_xbox[[#This Row],[Minecraft Season Pass Price]]</f>
        <v>65</v>
      </c>
      <c r="Q56" s="41">
        <f>VLOOKUP(tbl_xbox[[#This Row],[Plan]],tbl_apoio5[#All],2,FALSE)</f>
        <v>2</v>
      </c>
      <c r="R56" s="41">
        <f>VLOOKUP(tbl_xbox[[#This Row],[EA Play Season Pass]],tbl_apoio5[[EA Play Season Pass]:[output2]],2,FALSE)</f>
        <v>3</v>
      </c>
      <c r="S56" s="41">
        <f>VLOOKUP(tbl_xbox[[#This Row],[Minecraft Season Pass]],tbl_apoio5[[Minecraft Season Pass]:[Minecraft Season Pass2]],2,FALSE)</f>
        <v>6</v>
      </c>
      <c r="T56" s="41">
        <f>SUM(tbl_xbox[[#This Row],[Plan2]:[Minecraft Season Pass2]])</f>
        <v>11</v>
      </c>
      <c r="U56" s="40" t="str">
        <f>VLOOKUP(tbl_xbox[[#This Row],[soma]],tbl_apoio5[[#All],[soma]:[output2]],2,FALSE)</f>
        <v>EA Play + Minecraft</v>
      </c>
      <c r="V56" s="7"/>
    </row>
    <row r="57" spans="1:22" ht="16.5" customHeight="1" x14ac:dyDescent="0.2">
      <c r="A57" s="4">
        <v>3286</v>
      </c>
      <c r="B57" s="4" t="s">
        <v>76</v>
      </c>
      <c r="C57" s="4" t="s">
        <v>18</v>
      </c>
      <c r="D57" s="6">
        <v>45403</v>
      </c>
      <c r="E57" s="4" t="s">
        <v>11</v>
      </c>
      <c r="F57" s="7">
        <v>10</v>
      </c>
      <c r="G57" s="4" t="s">
        <v>19</v>
      </c>
      <c r="H57" s="4" t="s">
        <v>15</v>
      </c>
      <c r="I57" s="7">
        <v>0</v>
      </c>
      <c r="J57" s="4" t="s">
        <v>11</v>
      </c>
      <c r="K57" s="7">
        <v>20</v>
      </c>
      <c r="L57" s="7">
        <v>15</v>
      </c>
      <c r="M57" s="7">
        <v>15</v>
      </c>
      <c r="N57" s="40" t="str">
        <f>IF(tbl_xbox[[#This Row],[Coupon Value]]=$L$3,"No","Yes")</f>
        <v>Yes</v>
      </c>
      <c r="O57" s="40" t="str">
        <f>IF(OR(tbl_xbox[[#This Row],[EA Play Season Pass]]="Yes",tbl_xbox[[#This Row],[Minecraft Season Pass]]="Yes"),"Yes","No")</f>
        <v>Yes</v>
      </c>
      <c r="P57" s="40">
        <f>tbl_xbox[[#This Row],[Subscription Price]]+tbl_xbox[[#This Row],[EA Play Season Pass
Price]]+tbl_xbox[[#This Row],[Minecraft Season Pass Price]]</f>
        <v>30</v>
      </c>
      <c r="Q57" s="41">
        <f>VLOOKUP(tbl_xbox[[#This Row],[Plan]],tbl_apoio5[#All],2,FALSE)</f>
        <v>1</v>
      </c>
      <c r="R57" s="41">
        <f>VLOOKUP(tbl_xbox[[#This Row],[EA Play Season Pass]],tbl_apoio5[[EA Play Season Pass]:[output2]],2,FALSE)</f>
        <v>0</v>
      </c>
      <c r="S57" s="41">
        <f>VLOOKUP(tbl_xbox[[#This Row],[Minecraft Season Pass]],tbl_apoio5[[Minecraft Season Pass]:[Minecraft Season Pass2]],2,FALSE)</f>
        <v>6</v>
      </c>
      <c r="T57" s="41">
        <f>SUM(tbl_xbox[[#This Row],[Plan2]:[Minecraft Season Pass2]])</f>
        <v>7</v>
      </c>
      <c r="U57" s="40" t="str">
        <f>VLOOKUP(tbl_xbox[[#This Row],[soma]],tbl_apoio5[[#All],[soma]:[output2]],2,FALSE)</f>
        <v>Minecraft</v>
      </c>
      <c r="V57" s="7"/>
    </row>
    <row r="58" spans="1:22" ht="16.5" customHeight="1" x14ac:dyDescent="0.2">
      <c r="A58" s="4">
        <v>3287</v>
      </c>
      <c r="B58" s="4" t="s">
        <v>77</v>
      </c>
      <c r="C58" s="4" t="s">
        <v>14</v>
      </c>
      <c r="D58" s="6">
        <v>45404</v>
      </c>
      <c r="E58" s="4" t="s">
        <v>15</v>
      </c>
      <c r="F58" s="7">
        <v>5</v>
      </c>
      <c r="G58" s="4" t="s">
        <v>12</v>
      </c>
      <c r="H58" s="4" t="s">
        <v>15</v>
      </c>
      <c r="I58" s="7">
        <v>0</v>
      </c>
      <c r="J58" s="4" t="s">
        <v>15</v>
      </c>
      <c r="K58" s="7">
        <v>0</v>
      </c>
      <c r="L58" s="7">
        <v>1</v>
      </c>
      <c r="M58" s="7">
        <v>4</v>
      </c>
      <c r="N58" s="40" t="str">
        <f>IF(tbl_xbox[[#This Row],[Coupon Value]]=$L$3,"No","Yes")</f>
        <v>Yes</v>
      </c>
      <c r="O58" s="40" t="str">
        <f>IF(OR(tbl_xbox[[#This Row],[EA Play Season Pass]]="Yes",tbl_xbox[[#This Row],[Minecraft Season Pass]]="Yes"),"Yes","No")</f>
        <v>No</v>
      </c>
      <c r="P58" s="40">
        <f>tbl_xbox[[#This Row],[Subscription Price]]+tbl_xbox[[#This Row],[EA Play Season Pass
Price]]+tbl_xbox[[#This Row],[Minecraft Season Pass Price]]</f>
        <v>5</v>
      </c>
      <c r="Q58" s="41">
        <f>VLOOKUP(tbl_xbox[[#This Row],[Plan]],tbl_apoio5[#All],2,FALSE)</f>
        <v>0</v>
      </c>
      <c r="R58" s="41">
        <f>VLOOKUP(tbl_xbox[[#This Row],[EA Play Season Pass]],tbl_apoio5[[EA Play Season Pass]:[output2]],2,FALSE)</f>
        <v>0</v>
      </c>
      <c r="S58" s="41">
        <f>VLOOKUP(tbl_xbox[[#This Row],[Minecraft Season Pass]],tbl_apoio5[[Minecraft Season Pass]:[Minecraft Season Pass2]],2,FALSE)</f>
        <v>0</v>
      </c>
      <c r="T58" s="41">
        <f>SUM(tbl_xbox[[#This Row],[Plan2]:[Minecraft Season Pass2]])</f>
        <v>0</v>
      </c>
      <c r="U58" s="40" t="str">
        <f>VLOOKUP(tbl_xbox[[#This Row],[soma]],tbl_apoio5[[#All],[soma]:[output2]],2,FALSE)</f>
        <v>No Extras</v>
      </c>
      <c r="V58" s="7"/>
    </row>
    <row r="59" spans="1:22" ht="16.5" customHeight="1" x14ac:dyDescent="0.2">
      <c r="A59" s="4">
        <v>3288</v>
      </c>
      <c r="B59" s="4" t="s">
        <v>78</v>
      </c>
      <c r="C59" s="4" t="s">
        <v>10</v>
      </c>
      <c r="D59" s="6">
        <v>45405</v>
      </c>
      <c r="E59" s="4" t="s">
        <v>11</v>
      </c>
      <c r="F59" s="7">
        <v>15</v>
      </c>
      <c r="G59" s="4" t="s">
        <v>16</v>
      </c>
      <c r="H59" s="4" t="s">
        <v>11</v>
      </c>
      <c r="I59" s="7">
        <v>30</v>
      </c>
      <c r="J59" s="4" t="s">
        <v>11</v>
      </c>
      <c r="K59" s="7">
        <v>20</v>
      </c>
      <c r="L59" s="7">
        <v>3</v>
      </c>
      <c r="M59" s="7">
        <v>62</v>
      </c>
      <c r="N59" s="40" t="str">
        <f>IF(tbl_xbox[[#This Row],[Coupon Value]]=$L$3,"No","Yes")</f>
        <v>Yes</v>
      </c>
      <c r="O59" s="40" t="str">
        <f>IF(OR(tbl_xbox[[#This Row],[EA Play Season Pass]]="Yes",tbl_xbox[[#This Row],[Minecraft Season Pass]]="Yes"),"Yes","No")</f>
        <v>Yes</v>
      </c>
      <c r="P59" s="40">
        <f>tbl_xbox[[#This Row],[Subscription Price]]+tbl_xbox[[#This Row],[EA Play Season Pass
Price]]+tbl_xbox[[#This Row],[Minecraft Season Pass Price]]</f>
        <v>65</v>
      </c>
      <c r="Q59" s="41">
        <f>VLOOKUP(tbl_xbox[[#This Row],[Plan]],tbl_apoio5[#All],2,FALSE)</f>
        <v>2</v>
      </c>
      <c r="R59" s="41">
        <f>VLOOKUP(tbl_xbox[[#This Row],[EA Play Season Pass]],tbl_apoio5[[EA Play Season Pass]:[output2]],2,FALSE)</f>
        <v>3</v>
      </c>
      <c r="S59" s="41">
        <f>VLOOKUP(tbl_xbox[[#This Row],[Minecraft Season Pass]],tbl_apoio5[[Minecraft Season Pass]:[Minecraft Season Pass2]],2,FALSE)</f>
        <v>6</v>
      </c>
      <c r="T59" s="41">
        <f>SUM(tbl_xbox[[#This Row],[Plan2]:[Minecraft Season Pass2]])</f>
        <v>11</v>
      </c>
      <c r="U59" s="40" t="str">
        <f>VLOOKUP(tbl_xbox[[#This Row],[soma]],tbl_apoio5[[#All],[soma]:[output2]],2,FALSE)</f>
        <v>EA Play + Minecraft</v>
      </c>
      <c r="V59" s="7"/>
    </row>
    <row r="60" spans="1:22" ht="16.5" customHeight="1" x14ac:dyDescent="0.2">
      <c r="A60" s="4">
        <v>3289</v>
      </c>
      <c r="B60" s="4" t="s">
        <v>79</v>
      </c>
      <c r="C60" s="4" t="s">
        <v>18</v>
      </c>
      <c r="D60" s="6">
        <v>45406</v>
      </c>
      <c r="E60" s="4" t="s">
        <v>15</v>
      </c>
      <c r="F60" s="7">
        <v>10</v>
      </c>
      <c r="G60" s="4" t="s">
        <v>12</v>
      </c>
      <c r="H60" s="4" t="s">
        <v>15</v>
      </c>
      <c r="I60" s="7">
        <v>0</v>
      </c>
      <c r="J60" s="4" t="s">
        <v>11</v>
      </c>
      <c r="K60" s="7">
        <v>20</v>
      </c>
      <c r="L60" s="7">
        <v>10</v>
      </c>
      <c r="M60" s="7">
        <v>20</v>
      </c>
      <c r="N60" s="40" t="str">
        <f>IF(tbl_xbox[[#This Row],[Coupon Value]]=$L$3,"No","Yes")</f>
        <v>Yes</v>
      </c>
      <c r="O60" s="40" t="str">
        <f>IF(OR(tbl_xbox[[#This Row],[EA Play Season Pass]]="Yes",tbl_xbox[[#This Row],[Minecraft Season Pass]]="Yes"),"Yes","No")</f>
        <v>Yes</v>
      </c>
      <c r="P60" s="40">
        <f>tbl_xbox[[#This Row],[Subscription Price]]+tbl_xbox[[#This Row],[EA Play Season Pass
Price]]+tbl_xbox[[#This Row],[Minecraft Season Pass Price]]</f>
        <v>30</v>
      </c>
      <c r="Q60" s="41">
        <f>VLOOKUP(tbl_xbox[[#This Row],[Plan]],tbl_apoio5[#All],2,FALSE)</f>
        <v>1</v>
      </c>
      <c r="R60" s="41">
        <f>VLOOKUP(tbl_xbox[[#This Row],[EA Play Season Pass]],tbl_apoio5[[EA Play Season Pass]:[output2]],2,FALSE)</f>
        <v>0</v>
      </c>
      <c r="S60" s="41">
        <f>VLOOKUP(tbl_xbox[[#This Row],[Minecraft Season Pass]],tbl_apoio5[[Minecraft Season Pass]:[Minecraft Season Pass2]],2,FALSE)</f>
        <v>6</v>
      </c>
      <c r="T60" s="41">
        <f>SUM(tbl_xbox[[#This Row],[Plan2]:[Minecraft Season Pass2]])</f>
        <v>7</v>
      </c>
      <c r="U60" s="40" t="str">
        <f>VLOOKUP(tbl_xbox[[#This Row],[soma]],tbl_apoio5[[#All],[soma]:[output2]],2,FALSE)</f>
        <v>Minecraft</v>
      </c>
      <c r="V60" s="7"/>
    </row>
    <row r="61" spans="1:22" ht="16.5" customHeight="1" x14ac:dyDescent="0.2">
      <c r="A61" s="4">
        <v>3290</v>
      </c>
      <c r="B61" s="4" t="s">
        <v>80</v>
      </c>
      <c r="C61" s="4" t="s">
        <v>14</v>
      </c>
      <c r="D61" s="6">
        <v>45407</v>
      </c>
      <c r="E61" s="4" t="s">
        <v>11</v>
      </c>
      <c r="F61" s="7">
        <v>5</v>
      </c>
      <c r="G61" s="4" t="s">
        <v>19</v>
      </c>
      <c r="H61" s="4" t="s">
        <v>15</v>
      </c>
      <c r="I61" s="7">
        <v>0</v>
      </c>
      <c r="J61" s="4" t="s">
        <v>15</v>
      </c>
      <c r="K61" s="7">
        <v>0</v>
      </c>
      <c r="L61" s="7">
        <v>0</v>
      </c>
      <c r="M61" s="7">
        <v>5</v>
      </c>
      <c r="N61" s="40" t="str">
        <f>IF(tbl_xbox[[#This Row],[Coupon Value]]=$L$3,"No","Yes")</f>
        <v>No</v>
      </c>
      <c r="O61" s="40" t="str">
        <f>IF(OR(tbl_xbox[[#This Row],[EA Play Season Pass]]="Yes",tbl_xbox[[#This Row],[Minecraft Season Pass]]="Yes"),"Yes","No")</f>
        <v>No</v>
      </c>
      <c r="P61" s="40">
        <f>tbl_xbox[[#This Row],[Subscription Price]]+tbl_xbox[[#This Row],[EA Play Season Pass
Price]]+tbl_xbox[[#This Row],[Minecraft Season Pass Price]]</f>
        <v>5</v>
      </c>
      <c r="Q61" s="41">
        <f>VLOOKUP(tbl_xbox[[#This Row],[Plan]],tbl_apoio5[#All],2,FALSE)</f>
        <v>0</v>
      </c>
      <c r="R61" s="41">
        <f>VLOOKUP(tbl_xbox[[#This Row],[EA Play Season Pass]],tbl_apoio5[[EA Play Season Pass]:[output2]],2,FALSE)</f>
        <v>0</v>
      </c>
      <c r="S61" s="41">
        <f>VLOOKUP(tbl_xbox[[#This Row],[Minecraft Season Pass]],tbl_apoio5[[Minecraft Season Pass]:[Minecraft Season Pass2]],2,FALSE)</f>
        <v>0</v>
      </c>
      <c r="T61" s="41">
        <f>SUM(tbl_xbox[[#This Row],[Plan2]:[Minecraft Season Pass2]])</f>
        <v>0</v>
      </c>
      <c r="U61" s="40" t="str">
        <f>VLOOKUP(tbl_xbox[[#This Row],[soma]],tbl_apoio5[[#All],[soma]:[output2]],2,FALSE)</f>
        <v>No Extras</v>
      </c>
      <c r="V61" s="7"/>
    </row>
    <row r="62" spans="1:22" ht="16.5" customHeight="1" x14ac:dyDescent="0.2">
      <c r="A62" s="4">
        <v>3291</v>
      </c>
      <c r="B62" s="4" t="s">
        <v>81</v>
      </c>
      <c r="C62" s="4" t="s">
        <v>10</v>
      </c>
      <c r="D62" s="6">
        <v>45408</v>
      </c>
      <c r="E62" s="4" t="s">
        <v>15</v>
      </c>
      <c r="F62" s="7">
        <v>15</v>
      </c>
      <c r="G62" s="4" t="s">
        <v>12</v>
      </c>
      <c r="H62" s="4" t="s">
        <v>11</v>
      </c>
      <c r="I62" s="7">
        <v>30</v>
      </c>
      <c r="J62" s="4" t="s">
        <v>11</v>
      </c>
      <c r="K62" s="7">
        <v>20</v>
      </c>
      <c r="L62" s="7">
        <v>5</v>
      </c>
      <c r="M62" s="7">
        <v>60</v>
      </c>
      <c r="N62" s="40" t="str">
        <f>IF(tbl_xbox[[#This Row],[Coupon Value]]=$L$3,"No","Yes")</f>
        <v>Yes</v>
      </c>
      <c r="O62" s="40" t="str">
        <f>IF(OR(tbl_xbox[[#This Row],[EA Play Season Pass]]="Yes",tbl_xbox[[#This Row],[Minecraft Season Pass]]="Yes"),"Yes","No")</f>
        <v>Yes</v>
      </c>
      <c r="P62" s="40">
        <f>tbl_xbox[[#This Row],[Subscription Price]]+tbl_xbox[[#This Row],[EA Play Season Pass
Price]]+tbl_xbox[[#This Row],[Minecraft Season Pass Price]]</f>
        <v>65</v>
      </c>
      <c r="Q62" s="41">
        <f>VLOOKUP(tbl_xbox[[#This Row],[Plan]],tbl_apoio5[#All],2,FALSE)</f>
        <v>2</v>
      </c>
      <c r="R62" s="41">
        <f>VLOOKUP(tbl_xbox[[#This Row],[EA Play Season Pass]],tbl_apoio5[[EA Play Season Pass]:[output2]],2,FALSE)</f>
        <v>3</v>
      </c>
      <c r="S62" s="41">
        <f>VLOOKUP(tbl_xbox[[#This Row],[Minecraft Season Pass]],tbl_apoio5[[Minecraft Season Pass]:[Minecraft Season Pass2]],2,FALSE)</f>
        <v>6</v>
      </c>
      <c r="T62" s="41">
        <f>SUM(tbl_xbox[[#This Row],[Plan2]:[Minecraft Season Pass2]])</f>
        <v>11</v>
      </c>
      <c r="U62" s="40" t="str">
        <f>VLOOKUP(tbl_xbox[[#This Row],[soma]],tbl_apoio5[[#All],[soma]:[output2]],2,FALSE)</f>
        <v>EA Play + Minecraft</v>
      </c>
      <c r="V62" s="7"/>
    </row>
    <row r="63" spans="1:22" ht="16.5" customHeight="1" x14ac:dyDescent="0.2">
      <c r="A63" s="4">
        <v>3292</v>
      </c>
      <c r="B63" s="4" t="s">
        <v>82</v>
      </c>
      <c r="C63" s="4" t="s">
        <v>18</v>
      </c>
      <c r="D63" s="6">
        <v>45409</v>
      </c>
      <c r="E63" s="4" t="s">
        <v>11</v>
      </c>
      <c r="F63" s="7">
        <v>10</v>
      </c>
      <c r="G63" s="4" t="s">
        <v>16</v>
      </c>
      <c r="H63" s="4" t="s">
        <v>15</v>
      </c>
      <c r="I63" s="7">
        <v>0</v>
      </c>
      <c r="J63" s="4" t="s">
        <v>11</v>
      </c>
      <c r="K63" s="7">
        <v>20</v>
      </c>
      <c r="L63" s="7">
        <v>15</v>
      </c>
      <c r="M63" s="7">
        <v>15</v>
      </c>
      <c r="N63" s="40" t="str">
        <f>IF(tbl_xbox[[#This Row],[Coupon Value]]=$L$3,"No","Yes")</f>
        <v>Yes</v>
      </c>
      <c r="O63" s="40" t="str">
        <f>IF(OR(tbl_xbox[[#This Row],[EA Play Season Pass]]="Yes",tbl_xbox[[#This Row],[Minecraft Season Pass]]="Yes"),"Yes","No")</f>
        <v>Yes</v>
      </c>
      <c r="P63" s="40">
        <f>tbl_xbox[[#This Row],[Subscription Price]]+tbl_xbox[[#This Row],[EA Play Season Pass
Price]]+tbl_xbox[[#This Row],[Minecraft Season Pass Price]]</f>
        <v>30</v>
      </c>
      <c r="Q63" s="41">
        <f>VLOOKUP(tbl_xbox[[#This Row],[Plan]],tbl_apoio5[#All],2,FALSE)</f>
        <v>1</v>
      </c>
      <c r="R63" s="41">
        <f>VLOOKUP(tbl_xbox[[#This Row],[EA Play Season Pass]],tbl_apoio5[[EA Play Season Pass]:[output2]],2,FALSE)</f>
        <v>0</v>
      </c>
      <c r="S63" s="41">
        <f>VLOOKUP(tbl_xbox[[#This Row],[Minecraft Season Pass]],tbl_apoio5[[Minecraft Season Pass]:[Minecraft Season Pass2]],2,FALSE)</f>
        <v>6</v>
      </c>
      <c r="T63" s="41">
        <f>SUM(tbl_xbox[[#This Row],[Plan2]:[Minecraft Season Pass2]])</f>
        <v>7</v>
      </c>
      <c r="U63" s="40" t="str">
        <f>VLOOKUP(tbl_xbox[[#This Row],[soma]],tbl_apoio5[[#All],[soma]:[output2]],2,FALSE)</f>
        <v>Minecraft</v>
      </c>
      <c r="V63" s="7"/>
    </row>
    <row r="64" spans="1:22" ht="16.5" customHeight="1" x14ac:dyDescent="0.2">
      <c r="A64" s="4">
        <v>3293</v>
      </c>
      <c r="B64" s="4" t="s">
        <v>83</v>
      </c>
      <c r="C64" s="4" t="s">
        <v>14</v>
      </c>
      <c r="D64" s="6">
        <v>45410</v>
      </c>
      <c r="E64" s="4" t="s">
        <v>15</v>
      </c>
      <c r="F64" s="7">
        <v>5</v>
      </c>
      <c r="G64" s="4" t="s">
        <v>12</v>
      </c>
      <c r="H64" s="4" t="s">
        <v>15</v>
      </c>
      <c r="I64" s="7">
        <v>0</v>
      </c>
      <c r="J64" s="4" t="s">
        <v>15</v>
      </c>
      <c r="K64" s="7">
        <v>0</v>
      </c>
      <c r="L64" s="7">
        <v>1</v>
      </c>
      <c r="M64" s="7">
        <v>4</v>
      </c>
      <c r="N64" s="40" t="str">
        <f>IF(tbl_xbox[[#This Row],[Coupon Value]]=$L$3,"No","Yes")</f>
        <v>Yes</v>
      </c>
      <c r="O64" s="40" t="str">
        <f>IF(OR(tbl_xbox[[#This Row],[EA Play Season Pass]]="Yes",tbl_xbox[[#This Row],[Minecraft Season Pass]]="Yes"),"Yes","No")</f>
        <v>No</v>
      </c>
      <c r="P64" s="40">
        <f>tbl_xbox[[#This Row],[Subscription Price]]+tbl_xbox[[#This Row],[EA Play Season Pass
Price]]+tbl_xbox[[#This Row],[Minecraft Season Pass Price]]</f>
        <v>5</v>
      </c>
      <c r="Q64" s="41">
        <f>VLOOKUP(tbl_xbox[[#This Row],[Plan]],tbl_apoio5[#All],2,FALSE)</f>
        <v>0</v>
      </c>
      <c r="R64" s="41">
        <f>VLOOKUP(tbl_xbox[[#This Row],[EA Play Season Pass]],tbl_apoio5[[EA Play Season Pass]:[output2]],2,FALSE)</f>
        <v>0</v>
      </c>
      <c r="S64" s="41">
        <f>VLOOKUP(tbl_xbox[[#This Row],[Minecraft Season Pass]],tbl_apoio5[[Minecraft Season Pass]:[Minecraft Season Pass2]],2,FALSE)</f>
        <v>0</v>
      </c>
      <c r="T64" s="41">
        <f>SUM(tbl_xbox[[#This Row],[Plan2]:[Minecraft Season Pass2]])</f>
        <v>0</v>
      </c>
      <c r="U64" s="40" t="str">
        <f>VLOOKUP(tbl_xbox[[#This Row],[soma]],tbl_apoio5[[#All],[soma]:[output2]],2,FALSE)</f>
        <v>No Extras</v>
      </c>
      <c r="V64" s="7"/>
    </row>
    <row r="65" spans="1:22" ht="16.5" customHeight="1" x14ac:dyDescent="0.2">
      <c r="A65" s="4">
        <v>3294</v>
      </c>
      <c r="B65" s="4" t="s">
        <v>84</v>
      </c>
      <c r="C65" s="4" t="s">
        <v>10</v>
      </c>
      <c r="D65" s="6">
        <v>45411</v>
      </c>
      <c r="E65" s="4" t="s">
        <v>11</v>
      </c>
      <c r="F65" s="7">
        <v>15</v>
      </c>
      <c r="G65" s="4" t="s">
        <v>19</v>
      </c>
      <c r="H65" s="4" t="s">
        <v>11</v>
      </c>
      <c r="I65" s="7">
        <v>30</v>
      </c>
      <c r="J65" s="4" t="s">
        <v>11</v>
      </c>
      <c r="K65" s="7">
        <v>20</v>
      </c>
      <c r="L65" s="7">
        <v>20</v>
      </c>
      <c r="M65" s="7">
        <v>45</v>
      </c>
      <c r="N65" s="40" t="str">
        <f>IF(tbl_xbox[[#This Row],[Coupon Value]]=$L$3,"No","Yes")</f>
        <v>Yes</v>
      </c>
      <c r="O65" s="40" t="str">
        <f>IF(OR(tbl_xbox[[#This Row],[EA Play Season Pass]]="Yes",tbl_xbox[[#This Row],[Minecraft Season Pass]]="Yes"),"Yes","No")</f>
        <v>Yes</v>
      </c>
      <c r="P65" s="40">
        <f>tbl_xbox[[#This Row],[Subscription Price]]+tbl_xbox[[#This Row],[EA Play Season Pass
Price]]+tbl_xbox[[#This Row],[Minecraft Season Pass Price]]</f>
        <v>65</v>
      </c>
      <c r="Q65" s="41">
        <f>VLOOKUP(tbl_xbox[[#This Row],[Plan]],tbl_apoio5[#All],2,FALSE)</f>
        <v>2</v>
      </c>
      <c r="R65" s="41">
        <f>VLOOKUP(tbl_xbox[[#This Row],[EA Play Season Pass]],tbl_apoio5[[EA Play Season Pass]:[output2]],2,FALSE)</f>
        <v>3</v>
      </c>
      <c r="S65" s="41">
        <f>VLOOKUP(tbl_xbox[[#This Row],[Minecraft Season Pass]],tbl_apoio5[[Minecraft Season Pass]:[Minecraft Season Pass2]],2,FALSE)</f>
        <v>6</v>
      </c>
      <c r="T65" s="41">
        <f>SUM(tbl_xbox[[#This Row],[Plan2]:[Minecraft Season Pass2]])</f>
        <v>11</v>
      </c>
      <c r="U65" s="40" t="str">
        <f>VLOOKUP(tbl_xbox[[#This Row],[soma]],tbl_apoio5[[#All],[soma]:[output2]],2,FALSE)</f>
        <v>EA Play + Minecraft</v>
      </c>
      <c r="V65" s="7"/>
    </row>
    <row r="66" spans="1:22" ht="16.5" customHeight="1" x14ac:dyDescent="0.2">
      <c r="A66" s="4">
        <v>3295</v>
      </c>
      <c r="B66" s="4" t="s">
        <v>85</v>
      </c>
      <c r="C66" s="4" t="s">
        <v>18</v>
      </c>
      <c r="D66" s="6">
        <v>45412</v>
      </c>
      <c r="E66" s="4" t="s">
        <v>15</v>
      </c>
      <c r="F66" s="7">
        <v>10</v>
      </c>
      <c r="G66" s="4" t="s">
        <v>12</v>
      </c>
      <c r="H66" s="4" t="s">
        <v>15</v>
      </c>
      <c r="I66" s="7">
        <v>0</v>
      </c>
      <c r="J66" s="4" t="s">
        <v>11</v>
      </c>
      <c r="K66" s="7">
        <v>20</v>
      </c>
      <c r="L66" s="7">
        <v>5</v>
      </c>
      <c r="M66" s="7">
        <v>25</v>
      </c>
      <c r="N66" s="40" t="str">
        <f>IF(tbl_xbox[[#This Row],[Coupon Value]]=$L$3,"No","Yes")</f>
        <v>Yes</v>
      </c>
      <c r="O66" s="40" t="str">
        <f>IF(OR(tbl_xbox[[#This Row],[EA Play Season Pass]]="Yes",tbl_xbox[[#This Row],[Minecraft Season Pass]]="Yes"),"Yes","No")</f>
        <v>Yes</v>
      </c>
      <c r="P66" s="40">
        <f>tbl_xbox[[#This Row],[Subscription Price]]+tbl_xbox[[#This Row],[EA Play Season Pass
Price]]+tbl_xbox[[#This Row],[Minecraft Season Pass Price]]</f>
        <v>30</v>
      </c>
      <c r="Q66" s="41">
        <f>VLOOKUP(tbl_xbox[[#This Row],[Plan]],tbl_apoio5[#All],2,FALSE)</f>
        <v>1</v>
      </c>
      <c r="R66" s="41">
        <f>VLOOKUP(tbl_xbox[[#This Row],[EA Play Season Pass]],tbl_apoio5[[EA Play Season Pass]:[output2]],2,FALSE)</f>
        <v>0</v>
      </c>
      <c r="S66" s="41">
        <f>VLOOKUP(tbl_xbox[[#This Row],[Minecraft Season Pass]],tbl_apoio5[[Minecraft Season Pass]:[Minecraft Season Pass2]],2,FALSE)</f>
        <v>6</v>
      </c>
      <c r="T66" s="41">
        <f>SUM(tbl_xbox[[#This Row],[Plan2]:[Minecraft Season Pass2]])</f>
        <v>7</v>
      </c>
      <c r="U66" s="40" t="str">
        <f>VLOOKUP(tbl_xbox[[#This Row],[soma]],tbl_apoio5[[#All],[soma]:[output2]],2,FALSE)</f>
        <v>Minecraft</v>
      </c>
      <c r="V66" s="7"/>
    </row>
    <row r="67" spans="1:22" ht="16.5" customHeight="1" x14ac:dyDescent="0.2">
      <c r="A67" s="4">
        <v>3296</v>
      </c>
      <c r="B67" s="4" t="s">
        <v>86</v>
      </c>
      <c r="C67" s="4" t="s">
        <v>14</v>
      </c>
      <c r="D67" s="6">
        <v>45413</v>
      </c>
      <c r="E67" s="4" t="s">
        <v>15</v>
      </c>
      <c r="F67" s="7">
        <v>5</v>
      </c>
      <c r="G67" s="4" t="s">
        <v>12</v>
      </c>
      <c r="H67" s="4" t="s">
        <v>15</v>
      </c>
      <c r="I67" s="7">
        <v>0</v>
      </c>
      <c r="J67" s="4" t="s">
        <v>15</v>
      </c>
      <c r="K67" s="7">
        <v>0</v>
      </c>
      <c r="L67" s="7">
        <v>0</v>
      </c>
      <c r="M67" s="7">
        <v>5</v>
      </c>
      <c r="N67" s="40" t="str">
        <f>IF(tbl_xbox[[#This Row],[Coupon Value]]=$L$3,"No","Yes")</f>
        <v>No</v>
      </c>
      <c r="O67" s="40" t="str">
        <f>IF(OR(tbl_xbox[[#This Row],[EA Play Season Pass]]="Yes",tbl_xbox[[#This Row],[Minecraft Season Pass]]="Yes"),"Yes","No")</f>
        <v>No</v>
      </c>
      <c r="P67" s="40">
        <f>tbl_xbox[[#This Row],[Subscription Price]]+tbl_xbox[[#This Row],[EA Play Season Pass
Price]]+tbl_xbox[[#This Row],[Minecraft Season Pass Price]]</f>
        <v>5</v>
      </c>
      <c r="Q67" s="41">
        <f>VLOOKUP(tbl_xbox[[#This Row],[Plan]],tbl_apoio5[#All],2,FALSE)</f>
        <v>0</v>
      </c>
      <c r="R67" s="41">
        <f>VLOOKUP(tbl_xbox[[#This Row],[EA Play Season Pass]],tbl_apoio5[[EA Play Season Pass]:[output2]],2,FALSE)</f>
        <v>0</v>
      </c>
      <c r="S67" s="41">
        <f>VLOOKUP(tbl_xbox[[#This Row],[Minecraft Season Pass]],tbl_apoio5[[Minecraft Season Pass]:[Minecraft Season Pass2]],2,FALSE)</f>
        <v>0</v>
      </c>
      <c r="T67" s="41">
        <f>SUM(tbl_xbox[[#This Row],[Plan2]:[Minecraft Season Pass2]])</f>
        <v>0</v>
      </c>
      <c r="U67" s="40" t="str">
        <f>VLOOKUP(tbl_xbox[[#This Row],[soma]],tbl_apoio5[[#All],[soma]:[output2]],2,FALSE)</f>
        <v>No Extras</v>
      </c>
      <c r="V67" s="7"/>
    </row>
    <row r="68" spans="1:22" ht="16.5" customHeight="1" x14ac:dyDescent="0.2">
      <c r="A68" s="4">
        <v>3297</v>
      </c>
      <c r="B68" s="4" t="s">
        <v>87</v>
      </c>
      <c r="C68" s="4" t="s">
        <v>10</v>
      </c>
      <c r="D68" s="6">
        <v>45414</v>
      </c>
      <c r="E68" s="4" t="s">
        <v>11</v>
      </c>
      <c r="F68" s="7">
        <v>15</v>
      </c>
      <c r="G68" s="4" t="s">
        <v>19</v>
      </c>
      <c r="H68" s="4" t="s">
        <v>11</v>
      </c>
      <c r="I68" s="7">
        <v>30</v>
      </c>
      <c r="J68" s="4" t="s">
        <v>11</v>
      </c>
      <c r="K68" s="7">
        <v>20</v>
      </c>
      <c r="L68" s="7">
        <v>7</v>
      </c>
      <c r="M68" s="7">
        <v>58</v>
      </c>
      <c r="N68" s="40" t="str">
        <f>IF(tbl_xbox[[#This Row],[Coupon Value]]=$L$3,"No","Yes")</f>
        <v>Yes</v>
      </c>
      <c r="O68" s="40" t="str">
        <f>IF(OR(tbl_xbox[[#This Row],[EA Play Season Pass]]="Yes",tbl_xbox[[#This Row],[Minecraft Season Pass]]="Yes"),"Yes","No")</f>
        <v>Yes</v>
      </c>
      <c r="P68" s="40">
        <f>tbl_xbox[[#This Row],[Subscription Price]]+tbl_xbox[[#This Row],[EA Play Season Pass
Price]]+tbl_xbox[[#This Row],[Minecraft Season Pass Price]]</f>
        <v>65</v>
      </c>
      <c r="Q68" s="41">
        <f>VLOOKUP(tbl_xbox[[#This Row],[Plan]],tbl_apoio5[#All],2,FALSE)</f>
        <v>2</v>
      </c>
      <c r="R68" s="41">
        <f>VLOOKUP(tbl_xbox[[#This Row],[EA Play Season Pass]],tbl_apoio5[[EA Play Season Pass]:[output2]],2,FALSE)</f>
        <v>3</v>
      </c>
      <c r="S68" s="41">
        <f>VLOOKUP(tbl_xbox[[#This Row],[Minecraft Season Pass]],tbl_apoio5[[Minecraft Season Pass]:[Minecraft Season Pass2]],2,FALSE)</f>
        <v>6</v>
      </c>
      <c r="T68" s="41">
        <f>SUM(tbl_xbox[[#This Row],[Plan2]:[Minecraft Season Pass2]])</f>
        <v>11</v>
      </c>
      <c r="U68" s="40" t="str">
        <f>VLOOKUP(tbl_xbox[[#This Row],[soma]],tbl_apoio5[[#All],[soma]:[output2]],2,FALSE)</f>
        <v>EA Play + Minecraft</v>
      </c>
      <c r="V68" s="7"/>
    </row>
    <row r="69" spans="1:22" ht="16.5" customHeight="1" x14ac:dyDescent="0.2">
      <c r="A69" s="4">
        <v>3298</v>
      </c>
      <c r="B69" s="4" t="s">
        <v>88</v>
      </c>
      <c r="C69" s="4" t="s">
        <v>18</v>
      </c>
      <c r="D69" s="6">
        <v>45415</v>
      </c>
      <c r="E69" s="4" t="s">
        <v>15</v>
      </c>
      <c r="F69" s="7">
        <v>10</v>
      </c>
      <c r="G69" s="4" t="s">
        <v>16</v>
      </c>
      <c r="H69" s="4" t="s">
        <v>15</v>
      </c>
      <c r="I69" s="7">
        <v>0</v>
      </c>
      <c r="J69" s="4" t="s">
        <v>11</v>
      </c>
      <c r="K69" s="7">
        <v>20</v>
      </c>
      <c r="L69" s="7">
        <v>10</v>
      </c>
      <c r="M69" s="7">
        <v>20</v>
      </c>
      <c r="N69" s="40" t="str">
        <f>IF(tbl_xbox[[#This Row],[Coupon Value]]=$L$3,"No","Yes")</f>
        <v>Yes</v>
      </c>
      <c r="O69" s="40" t="str">
        <f>IF(OR(tbl_xbox[[#This Row],[EA Play Season Pass]]="Yes",tbl_xbox[[#This Row],[Minecraft Season Pass]]="Yes"),"Yes","No")</f>
        <v>Yes</v>
      </c>
      <c r="P69" s="40">
        <f>tbl_xbox[[#This Row],[Subscription Price]]+tbl_xbox[[#This Row],[EA Play Season Pass
Price]]+tbl_xbox[[#This Row],[Minecraft Season Pass Price]]</f>
        <v>30</v>
      </c>
      <c r="Q69" s="41">
        <f>VLOOKUP(tbl_xbox[[#This Row],[Plan]],tbl_apoio5[#All],2,FALSE)</f>
        <v>1</v>
      </c>
      <c r="R69" s="41">
        <f>VLOOKUP(tbl_xbox[[#This Row],[EA Play Season Pass]],tbl_apoio5[[EA Play Season Pass]:[output2]],2,FALSE)</f>
        <v>0</v>
      </c>
      <c r="S69" s="41">
        <f>VLOOKUP(tbl_xbox[[#This Row],[Minecraft Season Pass]],tbl_apoio5[[Minecraft Season Pass]:[Minecraft Season Pass2]],2,FALSE)</f>
        <v>6</v>
      </c>
      <c r="T69" s="41">
        <f>SUM(tbl_xbox[[#This Row],[Plan2]:[Minecraft Season Pass2]])</f>
        <v>7</v>
      </c>
      <c r="U69" s="40" t="str">
        <f>VLOOKUP(tbl_xbox[[#This Row],[soma]],tbl_apoio5[[#All],[soma]:[output2]],2,FALSE)</f>
        <v>Minecraft</v>
      </c>
      <c r="V69" s="7"/>
    </row>
    <row r="70" spans="1:22" ht="16.5" customHeight="1" x14ac:dyDescent="0.2">
      <c r="A70" s="4">
        <v>3299</v>
      </c>
      <c r="B70" s="4" t="s">
        <v>89</v>
      </c>
      <c r="C70" s="4" t="s">
        <v>14</v>
      </c>
      <c r="D70" s="6">
        <v>45416</v>
      </c>
      <c r="E70" s="4" t="s">
        <v>11</v>
      </c>
      <c r="F70" s="7">
        <v>5</v>
      </c>
      <c r="G70" s="4" t="s">
        <v>19</v>
      </c>
      <c r="H70" s="4" t="s">
        <v>15</v>
      </c>
      <c r="I70" s="7">
        <v>0</v>
      </c>
      <c r="J70" s="4" t="s">
        <v>15</v>
      </c>
      <c r="K70" s="7">
        <v>0</v>
      </c>
      <c r="L70" s="7">
        <v>1</v>
      </c>
      <c r="M70" s="7">
        <v>4</v>
      </c>
      <c r="N70" s="40" t="str">
        <f>IF(tbl_xbox[[#This Row],[Coupon Value]]=$L$3,"No","Yes")</f>
        <v>Yes</v>
      </c>
      <c r="O70" s="40" t="str">
        <f>IF(OR(tbl_xbox[[#This Row],[EA Play Season Pass]]="Yes",tbl_xbox[[#This Row],[Minecraft Season Pass]]="Yes"),"Yes","No")</f>
        <v>No</v>
      </c>
      <c r="P70" s="40">
        <f>tbl_xbox[[#This Row],[Subscription Price]]+tbl_xbox[[#This Row],[EA Play Season Pass
Price]]+tbl_xbox[[#This Row],[Minecraft Season Pass Price]]</f>
        <v>5</v>
      </c>
      <c r="Q70" s="41">
        <f>VLOOKUP(tbl_xbox[[#This Row],[Plan]],tbl_apoio5[#All],2,FALSE)</f>
        <v>0</v>
      </c>
      <c r="R70" s="41">
        <f>VLOOKUP(tbl_xbox[[#This Row],[EA Play Season Pass]],tbl_apoio5[[EA Play Season Pass]:[output2]],2,FALSE)</f>
        <v>0</v>
      </c>
      <c r="S70" s="41">
        <f>VLOOKUP(tbl_xbox[[#This Row],[Minecraft Season Pass]],tbl_apoio5[[Minecraft Season Pass]:[Minecraft Season Pass2]],2,FALSE)</f>
        <v>0</v>
      </c>
      <c r="T70" s="41">
        <f>SUM(tbl_xbox[[#This Row],[Plan2]:[Minecraft Season Pass2]])</f>
        <v>0</v>
      </c>
      <c r="U70" s="40" t="str">
        <f>VLOOKUP(tbl_xbox[[#This Row],[soma]],tbl_apoio5[[#All],[soma]:[output2]],2,FALSE)</f>
        <v>No Extras</v>
      </c>
      <c r="V70" s="7"/>
    </row>
    <row r="71" spans="1:22" ht="16.5" customHeight="1" x14ac:dyDescent="0.2">
      <c r="A71" s="4">
        <v>3300</v>
      </c>
      <c r="B71" s="4" t="s">
        <v>90</v>
      </c>
      <c r="C71" s="4" t="s">
        <v>10</v>
      </c>
      <c r="D71" s="6">
        <v>45417</v>
      </c>
      <c r="E71" s="4" t="s">
        <v>15</v>
      </c>
      <c r="F71" s="7">
        <v>15</v>
      </c>
      <c r="G71" s="4" t="s">
        <v>12</v>
      </c>
      <c r="H71" s="4" t="s">
        <v>11</v>
      </c>
      <c r="I71" s="7">
        <v>30</v>
      </c>
      <c r="J71" s="4" t="s">
        <v>11</v>
      </c>
      <c r="K71" s="7">
        <v>20</v>
      </c>
      <c r="L71" s="7">
        <v>15</v>
      </c>
      <c r="M71" s="7">
        <v>50</v>
      </c>
      <c r="N71" s="40" t="str">
        <f>IF(tbl_xbox[[#This Row],[Coupon Value]]=$L$3,"No","Yes")</f>
        <v>Yes</v>
      </c>
      <c r="O71" s="40" t="str">
        <f>IF(OR(tbl_xbox[[#This Row],[EA Play Season Pass]]="Yes",tbl_xbox[[#This Row],[Minecraft Season Pass]]="Yes"),"Yes","No")</f>
        <v>Yes</v>
      </c>
      <c r="P71" s="40">
        <f>tbl_xbox[[#This Row],[Subscription Price]]+tbl_xbox[[#This Row],[EA Play Season Pass
Price]]+tbl_xbox[[#This Row],[Minecraft Season Pass Price]]</f>
        <v>65</v>
      </c>
      <c r="Q71" s="41">
        <f>VLOOKUP(tbl_xbox[[#This Row],[Plan]],tbl_apoio5[#All],2,FALSE)</f>
        <v>2</v>
      </c>
      <c r="R71" s="41">
        <f>VLOOKUP(tbl_xbox[[#This Row],[EA Play Season Pass]],tbl_apoio5[[EA Play Season Pass]:[output2]],2,FALSE)</f>
        <v>3</v>
      </c>
      <c r="S71" s="41">
        <f>VLOOKUP(tbl_xbox[[#This Row],[Minecraft Season Pass]],tbl_apoio5[[Minecraft Season Pass]:[Minecraft Season Pass2]],2,FALSE)</f>
        <v>6</v>
      </c>
      <c r="T71" s="41">
        <f>SUM(tbl_xbox[[#This Row],[Plan2]:[Minecraft Season Pass2]])</f>
        <v>11</v>
      </c>
      <c r="U71" s="40" t="str">
        <f>VLOOKUP(tbl_xbox[[#This Row],[soma]],tbl_apoio5[[#All],[soma]:[output2]],2,FALSE)</f>
        <v>EA Play + Minecraft</v>
      </c>
      <c r="V71" s="7"/>
    </row>
    <row r="72" spans="1:22" ht="16.5" customHeight="1" x14ac:dyDescent="0.2">
      <c r="A72" s="4">
        <v>3301</v>
      </c>
      <c r="B72" s="4" t="s">
        <v>91</v>
      </c>
      <c r="C72" s="4" t="s">
        <v>18</v>
      </c>
      <c r="D72" s="6">
        <v>45418</v>
      </c>
      <c r="E72" s="4" t="s">
        <v>11</v>
      </c>
      <c r="F72" s="7">
        <v>10</v>
      </c>
      <c r="G72" s="4" t="s">
        <v>12</v>
      </c>
      <c r="H72" s="4" t="s">
        <v>15</v>
      </c>
      <c r="I72" s="7">
        <v>0</v>
      </c>
      <c r="J72" s="4" t="s">
        <v>11</v>
      </c>
      <c r="K72" s="7">
        <v>20</v>
      </c>
      <c r="L72" s="7">
        <v>5</v>
      </c>
      <c r="M72" s="7">
        <v>25</v>
      </c>
      <c r="N72" s="40" t="str">
        <f>IF(tbl_xbox[[#This Row],[Coupon Value]]=$L$3,"No","Yes")</f>
        <v>Yes</v>
      </c>
      <c r="O72" s="40" t="str">
        <f>IF(OR(tbl_xbox[[#This Row],[EA Play Season Pass]]="Yes",tbl_xbox[[#This Row],[Minecraft Season Pass]]="Yes"),"Yes","No")</f>
        <v>Yes</v>
      </c>
      <c r="P72" s="40">
        <f>tbl_xbox[[#This Row],[Subscription Price]]+tbl_xbox[[#This Row],[EA Play Season Pass
Price]]+tbl_xbox[[#This Row],[Minecraft Season Pass Price]]</f>
        <v>30</v>
      </c>
      <c r="Q72" s="41">
        <f>VLOOKUP(tbl_xbox[[#This Row],[Plan]],tbl_apoio5[#All],2,FALSE)</f>
        <v>1</v>
      </c>
      <c r="R72" s="41">
        <f>VLOOKUP(tbl_xbox[[#This Row],[EA Play Season Pass]],tbl_apoio5[[EA Play Season Pass]:[output2]],2,FALSE)</f>
        <v>0</v>
      </c>
      <c r="S72" s="41">
        <f>VLOOKUP(tbl_xbox[[#This Row],[Minecraft Season Pass]],tbl_apoio5[[Minecraft Season Pass]:[Minecraft Season Pass2]],2,FALSE)</f>
        <v>6</v>
      </c>
      <c r="T72" s="41">
        <f>SUM(tbl_xbox[[#This Row],[Plan2]:[Minecraft Season Pass2]])</f>
        <v>7</v>
      </c>
      <c r="U72" s="40" t="str">
        <f>VLOOKUP(tbl_xbox[[#This Row],[soma]],tbl_apoio5[[#All],[soma]:[output2]],2,FALSE)</f>
        <v>Minecraft</v>
      </c>
      <c r="V72" s="7"/>
    </row>
    <row r="73" spans="1:22" ht="16.5" customHeight="1" x14ac:dyDescent="0.2">
      <c r="A73" s="4">
        <v>3302</v>
      </c>
      <c r="B73" s="4" t="s">
        <v>92</v>
      </c>
      <c r="C73" s="4" t="s">
        <v>14</v>
      </c>
      <c r="D73" s="6">
        <v>45419</v>
      </c>
      <c r="E73" s="4" t="s">
        <v>15</v>
      </c>
      <c r="F73" s="7">
        <v>5</v>
      </c>
      <c r="G73" s="4" t="s">
        <v>16</v>
      </c>
      <c r="H73" s="4" t="s">
        <v>15</v>
      </c>
      <c r="I73" s="7">
        <v>0</v>
      </c>
      <c r="J73" s="4" t="s">
        <v>15</v>
      </c>
      <c r="K73" s="7">
        <v>0</v>
      </c>
      <c r="L73" s="7">
        <v>0</v>
      </c>
      <c r="M73" s="7">
        <v>5</v>
      </c>
      <c r="N73" s="40" t="str">
        <f>IF(tbl_xbox[[#This Row],[Coupon Value]]=$L$3,"No","Yes")</f>
        <v>No</v>
      </c>
      <c r="O73" s="40" t="str">
        <f>IF(OR(tbl_xbox[[#This Row],[EA Play Season Pass]]="Yes",tbl_xbox[[#This Row],[Minecraft Season Pass]]="Yes"),"Yes","No")</f>
        <v>No</v>
      </c>
      <c r="P73" s="40">
        <f>tbl_xbox[[#This Row],[Subscription Price]]+tbl_xbox[[#This Row],[EA Play Season Pass
Price]]+tbl_xbox[[#This Row],[Minecraft Season Pass Price]]</f>
        <v>5</v>
      </c>
      <c r="Q73" s="41">
        <f>VLOOKUP(tbl_xbox[[#This Row],[Plan]],tbl_apoio5[#All],2,FALSE)</f>
        <v>0</v>
      </c>
      <c r="R73" s="41">
        <f>VLOOKUP(tbl_xbox[[#This Row],[EA Play Season Pass]],tbl_apoio5[[EA Play Season Pass]:[output2]],2,FALSE)</f>
        <v>0</v>
      </c>
      <c r="S73" s="41">
        <f>VLOOKUP(tbl_xbox[[#This Row],[Minecraft Season Pass]],tbl_apoio5[[Minecraft Season Pass]:[Minecraft Season Pass2]],2,FALSE)</f>
        <v>0</v>
      </c>
      <c r="T73" s="41">
        <f>SUM(tbl_xbox[[#This Row],[Plan2]:[Minecraft Season Pass2]])</f>
        <v>0</v>
      </c>
      <c r="U73" s="40" t="str">
        <f>VLOOKUP(tbl_xbox[[#This Row],[soma]],tbl_apoio5[[#All],[soma]:[output2]],2,FALSE)</f>
        <v>No Extras</v>
      </c>
      <c r="V73" s="7"/>
    </row>
    <row r="74" spans="1:22" ht="16.5" customHeight="1" x14ac:dyDescent="0.2">
      <c r="A74" s="4">
        <v>3303</v>
      </c>
      <c r="B74" s="4" t="s">
        <v>93</v>
      </c>
      <c r="C74" s="4" t="s">
        <v>10</v>
      </c>
      <c r="D74" s="6">
        <v>45420</v>
      </c>
      <c r="E74" s="4" t="s">
        <v>11</v>
      </c>
      <c r="F74" s="7">
        <v>15</v>
      </c>
      <c r="G74" s="4" t="s">
        <v>19</v>
      </c>
      <c r="H74" s="4" t="s">
        <v>11</v>
      </c>
      <c r="I74" s="7">
        <v>30</v>
      </c>
      <c r="J74" s="4" t="s">
        <v>11</v>
      </c>
      <c r="K74" s="7">
        <v>20</v>
      </c>
      <c r="L74" s="7">
        <v>20</v>
      </c>
      <c r="M74" s="7">
        <v>45</v>
      </c>
      <c r="N74" s="40" t="str">
        <f>IF(tbl_xbox[[#This Row],[Coupon Value]]=$L$3,"No","Yes")</f>
        <v>Yes</v>
      </c>
      <c r="O74" s="40" t="str">
        <f>IF(OR(tbl_xbox[[#This Row],[EA Play Season Pass]]="Yes",tbl_xbox[[#This Row],[Minecraft Season Pass]]="Yes"),"Yes","No")</f>
        <v>Yes</v>
      </c>
      <c r="P74" s="40">
        <f>tbl_xbox[[#This Row],[Subscription Price]]+tbl_xbox[[#This Row],[EA Play Season Pass
Price]]+tbl_xbox[[#This Row],[Minecraft Season Pass Price]]</f>
        <v>65</v>
      </c>
      <c r="Q74" s="41">
        <f>VLOOKUP(tbl_xbox[[#This Row],[Plan]],tbl_apoio5[#All],2,FALSE)</f>
        <v>2</v>
      </c>
      <c r="R74" s="41">
        <f>VLOOKUP(tbl_xbox[[#This Row],[EA Play Season Pass]],tbl_apoio5[[EA Play Season Pass]:[output2]],2,FALSE)</f>
        <v>3</v>
      </c>
      <c r="S74" s="41">
        <f>VLOOKUP(tbl_xbox[[#This Row],[Minecraft Season Pass]],tbl_apoio5[[Minecraft Season Pass]:[Minecraft Season Pass2]],2,FALSE)</f>
        <v>6</v>
      </c>
      <c r="T74" s="41">
        <f>SUM(tbl_xbox[[#This Row],[Plan2]:[Minecraft Season Pass2]])</f>
        <v>11</v>
      </c>
      <c r="U74" s="40" t="str">
        <f>VLOOKUP(tbl_xbox[[#This Row],[soma]],tbl_apoio5[[#All],[soma]:[output2]],2,FALSE)</f>
        <v>EA Play + Minecraft</v>
      </c>
      <c r="V74" s="7"/>
    </row>
    <row r="75" spans="1:22" ht="16.5" customHeight="1" x14ac:dyDescent="0.2">
      <c r="A75" s="4">
        <v>3304</v>
      </c>
      <c r="B75" s="4" t="s">
        <v>94</v>
      </c>
      <c r="C75" s="4" t="s">
        <v>18</v>
      </c>
      <c r="D75" s="6">
        <v>45421</v>
      </c>
      <c r="E75" s="4" t="s">
        <v>15</v>
      </c>
      <c r="F75" s="7">
        <v>10</v>
      </c>
      <c r="G75" s="4" t="s">
        <v>19</v>
      </c>
      <c r="H75" s="4" t="s">
        <v>15</v>
      </c>
      <c r="I75" s="7">
        <v>0</v>
      </c>
      <c r="J75" s="4" t="s">
        <v>11</v>
      </c>
      <c r="K75" s="7">
        <v>20</v>
      </c>
      <c r="L75" s="7">
        <v>12</v>
      </c>
      <c r="M75" s="7">
        <v>18</v>
      </c>
      <c r="N75" s="40" t="str">
        <f>IF(tbl_xbox[[#This Row],[Coupon Value]]=$L$3,"No","Yes")</f>
        <v>Yes</v>
      </c>
      <c r="O75" s="40" t="str">
        <f>IF(OR(tbl_xbox[[#This Row],[EA Play Season Pass]]="Yes",tbl_xbox[[#This Row],[Minecraft Season Pass]]="Yes"),"Yes","No")</f>
        <v>Yes</v>
      </c>
      <c r="P75" s="40">
        <f>tbl_xbox[[#This Row],[Subscription Price]]+tbl_xbox[[#This Row],[EA Play Season Pass
Price]]+tbl_xbox[[#This Row],[Minecraft Season Pass Price]]</f>
        <v>30</v>
      </c>
      <c r="Q75" s="41">
        <f>VLOOKUP(tbl_xbox[[#This Row],[Plan]],tbl_apoio5[#All],2,FALSE)</f>
        <v>1</v>
      </c>
      <c r="R75" s="41">
        <f>VLOOKUP(tbl_xbox[[#This Row],[EA Play Season Pass]],tbl_apoio5[[EA Play Season Pass]:[output2]],2,FALSE)</f>
        <v>0</v>
      </c>
      <c r="S75" s="41">
        <f>VLOOKUP(tbl_xbox[[#This Row],[Minecraft Season Pass]],tbl_apoio5[[Minecraft Season Pass]:[Minecraft Season Pass2]],2,FALSE)</f>
        <v>6</v>
      </c>
      <c r="T75" s="41">
        <f>SUM(tbl_xbox[[#This Row],[Plan2]:[Minecraft Season Pass2]])</f>
        <v>7</v>
      </c>
      <c r="U75" s="40" t="str">
        <f>VLOOKUP(tbl_xbox[[#This Row],[soma]],tbl_apoio5[[#All],[soma]:[output2]],2,FALSE)</f>
        <v>Minecraft</v>
      </c>
      <c r="V75" s="7"/>
    </row>
    <row r="76" spans="1:22" ht="16.5" customHeight="1" x14ac:dyDescent="0.2">
      <c r="A76" s="4">
        <v>3305</v>
      </c>
      <c r="B76" s="4" t="s">
        <v>95</v>
      </c>
      <c r="C76" s="4" t="s">
        <v>14</v>
      </c>
      <c r="D76" s="6">
        <v>45422</v>
      </c>
      <c r="E76" s="4" t="s">
        <v>11</v>
      </c>
      <c r="F76" s="7">
        <v>5</v>
      </c>
      <c r="G76" s="4" t="s">
        <v>12</v>
      </c>
      <c r="H76" s="4" t="s">
        <v>15</v>
      </c>
      <c r="I76" s="7">
        <v>0</v>
      </c>
      <c r="J76" s="4" t="s">
        <v>15</v>
      </c>
      <c r="K76" s="7">
        <v>0</v>
      </c>
      <c r="L76" s="7">
        <v>2</v>
      </c>
      <c r="M76" s="7">
        <v>3</v>
      </c>
      <c r="N76" s="40" t="str">
        <f>IF(tbl_xbox[[#This Row],[Coupon Value]]=$L$3,"No","Yes")</f>
        <v>Yes</v>
      </c>
      <c r="O76" s="40" t="str">
        <f>IF(OR(tbl_xbox[[#This Row],[EA Play Season Pass]]="Yes",tbl_xbox[[#This Row],[Minecraft Season Pass]]="Yes"),"Yes","No")</f>
        <v>No</v>
      </c>
      <c r="P76" s="40">
        <f>tbl_xbox[[#This Row],[Subscription Price]]+tbl_xbox[[#This Row],[EA Play Season Pass
Price]]+tbl_xbox[[#This Row],[Minecraft Season Pass Price]]</f>
        <v>5</v>
      </c>
      <c r="Q76" s="41">
        <f>VLOOKUP(tbl_xbox[[#This Row],[Plan]],tbl_apoio5[#All],2,FALSE)</f>
        <v>0</v>
      </c>
      <c r="R76" s="41">
        <f>VLOOKUP(tbl_xbox[[#This Row],[EA Play Season Pass]],tbl_apoio5[[EA Play Season Pass]:[output2]],2,FALSE)</f>
        <v>0</v>
      </c>
      <c r="S76" s="41">
        <f>VLOOKUP(tbl_xbox[[#This Row],[Minecraft Season Pass]],tbl_apoio5[[Minecraft Season Pass]:[Minecraft Season Pass2]],2,FALSE)</f>
        <v>0</v>
      </c>
      <c r="T76" s="41">
        <f>SUM(tbl_xbox[[#This Row],[Plan2]:[Minecraft Season Pass2]])</f>
        <v>0</v>
      </c>
      <c r="U76" s="40" t="str">
        <f>VLOOKUP(tbl_xbox[[#This Row],[soma]],tbl_apoio5[[#All],[soma]:[output2]],2,FALSE)</f>
        <v>No Extras</v>
      </c>
      <c r="V76" s="7"/>
    </row>
    <row r="77" spans="1:22" ht="16.5" customHeight="1" x14ac:dyDescent="0.2">
      <c r="A77" s="4">
        <v>3306</v>
      </c>
      <c r="B77" s="4" t="s">
        <v>96</v>
      </c>
      <c r="C77" s="4" t="s">
        <v>10</v>
      </c>
      <c r="D77" s="6">
        <v>45423</v>
      </c>
      <c r="E77" s="4" t="s">
        <v>15</v>
      </c>
      <c r="F77" s="7">
        <v>15</v>
      </c>
      <c r="G77" s="4" t="s">
        <v>16</v>
      </c>
      <c r="H77" s="4" t="s">
        <v>11</v>
      </c>
      <c r="I77" s="7">
        <v>30</v>
      </c>
      <c r="J77" s="4" t="s">
        <v>11</v>
      </c>
      <c r="K77" s="7">
        <v>20</v>
      </c>
      <c r="L77" s="7">
        <v>5</v>
      </c>
      <c r="M77" s="7">
        <v>60</v>
      </c>
      <c r="N77" s="40" t="str">
        <f>IF(tbl_xbox[[#This Row],[Coupon Value]]=$L$3,"No","Yes")</f>
        <v>Yes</v>
      </c>
      <c r="O77" s="40" t="str">
        <f>IF(OR(tbl_xbox[[#This Row],[EA Play Season Pass]]="Yes",tbl_xbox[[#This Row],[Minecraft Season Pass]]="Yes"),"Yes","No")</f>
        <v>Yes</v>
      </c>
      <c r="P77" s="40">
        <f>tbl_xbox[[#This Row],[Subscription Price]]+tbl_xbox[[#This Row],[EA Play Season Pass
Price]]+tbl_xbox[[#This Row],[Minecraft Season Pass Price]]</f>
        <v>65</v>
      </c>
      <c r="Q77" s="41">
        <f>VLOOKUP(tbl_xbox[[#This Row],[Plan]],tbl_apoio5[#All],2,FALSE)</f>
        <v>2</v>
      </c>
      <c r="R77" s="41">
        <f>VLOOKUP(tbl_xbox[[#This Row],[EA Play Season Pass]],tbl_apoio5[[EA Play Season Pass]:[output2]],2,FALSE)</f>
        <v>3</v>
      </c>
      <c r="S77" s="41">
        <f>VLOOKUP(tbl_xbox[[#This Row],[Minecraft Season Pass]],tbl_apoio5[[Minecraft Season Pass]:[Minecraft Season Pass2]],2,FALSE)</f>
        <v>6</v>
      </c>
      <c r="T77" s="41">
        <f>SUM(tbl_xbox[[#This Row],[Plan2]:[Minecraft Season Pass2]])</f>
        <v>11</v>
      </c>
      <c r="U77" s="40" t="str">
        <f>VLOOKUP(tbl_xbox[[#This Row],[soma]],tbl_apoio5[[#All],[soma]:[output2]],2,FALSE)</f>
        <v>EA Play + Minecraft</v>
      </c>
      <c r="V77" s="7"/>
    </row>
    <row r="78" spans="1:22" ht="16.5" customHeight="1" x14ac:dyDescent="0.2">
      <c r="A78" s="4">
        <v>3307</v>
      </c>
      <c r="B78" s="4" t="s">
        <v>97</v>
      </c>
      <c r="C78" s="4" t="s">
        <v>18</v>
      </c>
      <c r="D78" s="6">
        <v>45424</v>
      </c>
      <c r="E78" s="4" t="s">
        <v>11</v>
      </c>
      <c r="F78" s="7">
        <v>10</v>
      </c>
      <c r="G78" s="4" t="s">
        <v>12</v>
      </c>
      <c r="H78" s="4" t="s">
        <v>15</v>
      </c>
      <c r="I78" s="7">
        <v>0</v>
      </c>
      <c r="J78" s="4" t="s">
        <v>11</v>
      </c>
      <c r="K78" s="7">
        <v>20</v>
      </c>
      <c r="L78" s="7">
        <v>10</v>
      </c>
      <c r="M78" s="7">
        <v>20</v>
      </c>
      <c r="N78" s="40" t="str">
        <f>IF(tbl_xbox[[#This Row],[Coupon Value]]=$L$3,"No","Yes")</f>
        <v>Yes</v>
      </c>
      <c r="O78" s="40" t="str">
        <f>IF(OR(tbl_xbox[[#This Row],[EA Play Season Pass]]="Yes",tbl_xbox[[#This Row],[Minecraft Season Pass]]="Yes"),"Yes","No")</f>
        <v>Yes</v>
      </c>
      <c r="P78" s="40">
        <f>tbl_xbox[[#This Row],[Subscription Price]]+tbl_xbox[[#This Row],[EA Play Season Pass
Price]]+tbl_xbox[[#This Row],[Minecraft Season Pass Price]]</f>
        <v>30</v>
      </c>
      <c r="Q78" s="41">
        <f>VLOOKUP(tbl_xbox[[#This Row],[Plan]],tbl_apoio5[#All],2,FALSE)</f>
        <v>1</v>
      </c>
      <c r="R78" s="41">
        <f>VLOOKUP(tbl_xbox[[#This Row],[EA Play Season Pass]],tbl_apoio5[[EA Play Season Pass]:[output2]],2,FALSE)</f>
        <v>0</v>
      </c>
      <c r="S78" s="41">
        <f>VLOOKUP(tbl_xbox[[#This Row],[Minecraft Season Pass]],tbl_apoio5[[Minecraft Season Pass]:[Minecraft Season Pass2]],2,FALSE)</f>
        <v>6</v>
      </c>
      <c r="T78" s="41">
        <f>SUM(tbl_xbox[[#This Row],[Plan2]:[Minecraft Season Pass2]])</f>
        <v>7</v>
      </c>
      <c r="U78" s="40" t="str">
        <f>VLOOKUP(tbl_xbox[[#This Row],[soma]],tbl_apoio5[[#All],[soma]:[output2]],2,FALSE)</f>
        <v>Minecraft</v>
      </c>
      <c r="V78" s="7"/>
    </row>
    <row r="79" spans="1:22" ht="16.5" customHeight="1" x14ac:dyDescent="0.2">
      <c r="A79" s="4">
        <v>3308</v>
      </c>
      <c r="B79" s="4" t="s">
        <v>98</v>
      </c>
      <c r="C79" s="4" t="s">
        <v>14</v>
      </c>
      <c r="D79" s="6">
        <v>45425</v>
      </c>
      <c r="E79" s="4" t="s">
        <v>15</v>
      </c>
      <c r="F79" s="7">
        <v>5</v>
      </c>
      <c r="G79" s="4" t="s">
        <v>19</v>
      </c>
      <c r="H79" s="4" t="s">
        <v>15</v>
      </c>
      <c r="I79" s="7">
        <v>0</v>
      </c>
      <c r="J79" s="4" t="s">
        <v>15</v>
      </c>
      <c r="K79" s="7">
        <v>0</v>
      </c>
      <c r="L79" s="7">
        <v>0</v>
      </c>
      <c r="M79" s="7">
        <v>5</v>
      </c>
      <c r="N79" s="40" t="str">
        <f>IF(tbl_xbox[[#This Row],[Coupon Value]]=$L$3,"No","Yes")</f>
        <v>No</v>
      </c>
      <c r="O79" s="40" t="str">
        <f>IF(OR(tbl_xbox[[#This Row],[EA Play Season Pass]]="Yes",tbl_xbox[[#This Row],[Minecraft Season Pass]]="Yes"),"Yes","No")</f>
        <v>No</v>
      </c>
      <c r="P79" s="40">
        <f>tbl_xbox[[#This Row],[Subscription Price]]+tbl_xbox[[#This Row],[EA Play Season Pass
Price]]+tbl_xbox[[#This Row],[Minecraft Season Pass Price]]</f>
        <v>5</v>
      </c>
      <c r="Q79" s="41">
        <f>VLOOKUP(tbl_xbox[[#This Row],[Plan]],tbl_apoio5[#All],2,FALSE)</f>
        <v>0</v>
      </c>
      <c r="R79" s="41">
        <f>VLOOKUP(tbl_xbox[[#This Row],[EA Play Season Pass]],tbl_apoio5[[EA Play Season Pass]:[output2]],2,FALSE)</f>
        <v>0</v>
      </c>
      <c r="S79" s="41">
        <f>VLOOKUP(tbl_xbox[[#This Row],[Minecraft Season Pass]],tbl_apoio5[[Minecraft Season Pass]:[Minecraft Season Pass2]],2,FALSE)</f>
        <v>0</v>
      </c>
      <c r="T79" s="41">
        <f>SUM(tbl_xbox[[#This Row],[Plan2]:[Minecraft Season Pass2]])</f>
        <v>0</v>
      </c>
      <c r="U79" s="40" t="str">
        <f>VLOOKUP(tbl_xbox[[#This Row],[soma]],tbl_apoio5[[#All],[soma]:[output2]],2,FALSE)</f>
        <v>No Extras</v>
      </c>
      <c r="V79" s="7"/>
    </row>
    <row r="80" spans="1:22" ht="16.5" customHeight="1" x14ac:dyDescent="0.2">
      <c r="A80" s="4">
        <v>3309</v>
      </c>
      <c r="B80" s="4" t="s">
        <v>99</v>
      </c>
      <c r="C80" s="4" t="s">
        <v>10</v>
      </c>
      <c r="D80" s="6">
        <v>45426</v>
      </c>
      <c r="E80" s="4" t="s">
        <v>11</v>
      </c>
      <c r="F80" s="7">
        <v>15</v>
      </c>
      <c r="G80" s="4" t="s">
        <v>12</v>
      </c>
      <c r="H80" s="4" t="s">
        <v>11</v>
      </c>
      <c r="I80" s="7">
        <v>30</v>
      </c>
      <c r="J80" s="4" t="s">
        <v>11</v>
      </c>
      <c r="K80" s="7">
        <v>20</v>
      </c>
      <c r="L80" s="7">
        <v>3</v>
      </c>
      <c r="M80" s="7">
        <v>62</v>
      </c>
      <c r="N80" s="40" t="str">
        <f>IF(tbl_xbox[[#This Row],[Coupon Value]]=$L$3,"No","Yes")</f>
        <v>Yes</v>
      </c>
      <c r="O80" s="40" t="str">
        <f>IF(OR(tbl_xbox[[#This Row],[EA Play Season Pass]]="Yes",tbl_xbox[[#This Row],[Minecraft Season Pass]]="Yes"),"Yes","No")</f>
        <v>Yes</v>
      </c>
      <c r="P80" s="40">
        <f>tbl_xbox[[#This Row],[Subscription Price]]+tbl_xbox[[#This Row],[EA Play Season Pass
Price]]+tbl_xbox[[#This Row],[Minecraft Season Pass Price]]</f>
        <v>65</v>
      </c>
      <c r="Q80" s="41">
        <f>VLOOKUP(tbl_xbox[[#This Row],[Plan]],tbl_apoio5[#All],2,FALSE)</f>
        <v>2</v>
      </c>
      <c r="R80" s="41">
        <f>VLOOKUP(tbl_xbox[[#This Row],[EA Play Season Pass]],tbl_apoio5[[EA Play Season Pass]:[output2]],2,FALSE)</f>
        <v>3</v>
      </c>
      <c r="S80" s="41">
        <f>VLOOKUP(tbl_xbox[[#This Row],[Minecraft Season Pass]],tbl_apoio5[[Minecraft Season Pass]:[Minecraft Season Pass2]],2,FALSE)</f>
        <v>6</v>
      </c>
      <c r="T80" s="41">
        <f>SUM(tbl_xbox[[#This Row],[Plan2]:[Minecraft Season Pass2]])</f>
        <v>11</v>
      </c>
      <c r="U80" s="40" t="str">
        <f>VLOOKUP(tbl_xbox[[#This Row],[soma]],tbl_apoio5[[#All],[soma]:[output2]],2,FALSE)</f>
        <v>EA Play + Minecraft</v>
      </c>
      <c r="V80" s="7"/>
    </row>
    <row r="81" spans="1:22" ht="16.5" customHeight="1" x14ac:dyDescent="0.2">
      <c r="A81" s="4">
        <v>3310</v>
      </c>
      <c r="B81" s="4" t="s">
        <v>100</v>
      </c>
      <c r="C81" s="4" t="s">
        <v>18</v>
      </c>
      <c r="D81" s="6">
        <v>45427</v>
      </c>
      <c r="E81" s="4" t="s">
        <v>15</v>
      </c>
      <c r="F81" s="7">
        <v>10</v>
      </c>
      <c r="G81" s="4" t="s">
        <v>16</v>
      </c>
      <c r="H81" s="4" t="s">
        <v>15</v>
      </c>
      <c r="I81" s="7">
        <v>0</v>
      </c>
      <c r="J81" s="4" t="s">
        <v>11</v>
      </c>
      <c r="K81" s="7">
        <v>20</v>
      </c>
      <c r="L81" s="7">
        <v>15</v>
      </c>
      <c r="M81" s="7">
        <v>15</v>
      </c>
      <c r="N81" s="40" t="str">
        <f>IF(tbl_xbox[[#This Row],[Coupon Value]]=$L$3,"No","Yes")</f>
        <v>Yes</v>
      </c>
      <c r="O81" s="40" t="str">
        <f>IF(OR(tbl_xbox[[#This Row],[EA Play Season Pass]]="Yes",tbl_xbox[[#This Row],[Minecraft Season Pass]]="Yes"),"Yes","No")</f>
        <v>Yes</v>
      </c>
      <c r="P81" s="40">
        <f>tbl_xbox[[#This Row],[Subscription Price]]+tbl_xbox[[#This Row],[EA Play Season Pass
Price]]+tbl_xbox[[#This Row],[Minecraft Season Pass Price]]</f>
        <v>30</v>
      </c>
      <c r="Q81" s="41">
        <f>VLOOKUP(tbl_xbox[[#This Row],[Plan]],tbl_apoio5[#All],2,FALSE)</f>
        <v>1</v>
      </c>
      <c r="R81" s="41">
        <f>VLOOKUP(tbl_xbox[[#This Row],[EA Play Season Pass]],tbl_apoio5[[EA Play Season Pass]:[output2]],2,FALSE)</f>
        <v>0</v>
      </c>
      <c r="S81" s="41">
        <f>VLOOKUP(tbl_xbox[[#This Row],[Minecraft Season Pass]],tbl_apoio5[[Minecraft Season Pass]:[Minecraft Season Pass2]],2,FALSE)</f>
        <v>6</v>
      </c>
      <c r="T81" s="41">
        <f>SUM(tbl_xbox[[#This Row],[Plan2]:[Minecraft Season Pass2]])</f>
        <v>7</v>
      </c>
      <c r="U81" s="40" t="str">
        <f>VLOOKUP(tbl_xbox[[#This Row],[soma]],tbl_apoio5[[#All],[soma]:[output2]],2,FALSE)</f>
        <v>Minecraft</v>
      </c>
      <c r="V81" s="7"/>
    </row>
    <row r="82" spans="1:22" ht="16.5" customHeight="1" x14ac:dyDescent="0.2">
      <c r="A82" s="4">
        <v>3311</v>
      </c>
      <c r="B82" s="4" t="s">
        <v>101</v>
      </c>
      <c r="C82" s="4" t="s">
        <v>14</v>
      </c>
      <c r="D82" s="6">
        <v>45428</v>
      </c>
      <c r="E82" s="4" t="s">
        <v>11</v>
      </c>
      <c r="F82" s="7">
        <v>5</v>
      </c>
      <c r="G82" s="4" t="s">
        <v>12</v>
      </c>
      <c r="H82" s="4" t="s">
        <v>15</v>
      </c>
      <c r="I82" s="7">
        <v>0</v>
      </c>
      <c r="J82" s="4" t="s">
        <v>15</v>
      </c>
      <c r="K82" s="7">
        <v>0</v>
      </c>
      <c r="L82" s="7">
        <v>1</v>
      </c>
      <c r="M82" s="7">
        <v>4</v>
      </c>
      <c r="N82" s="40" t="str">
        <f>IF(tbl_xbox[[#This Row],[Coupon Value]]=$L$3,"No","Yes")</f>
        <v>Yes</v>
      </c>
      <c r="O82" s="40" t="str">
        <f>IF(OR(tbl_xbox[[#This Row],[EA Play Season Pass]]="Yes",tbl_xbox[[#This Row],[Minecraft Season Pass]]="Yes"),"Yes","No")</f>
        <v>No</v>
      </c>
      <c r="P82" s="40">
        <f>tbl_xbox[[#This Row],[Subscription Price]]+tbl_xbox[[#This Row],[EA Play Season Pass
Price]]+tbl_xbox[[#This Row],[Minecraft Season Pass Price]]</f>
        <v>5</v>
      </c>
      <c r="Q82" s="41">
        <f>VLOOKUP(tbl_xbox[[#This Row],[Plan]],tbl_apoio5[#All],2,FALSE)</f>
        <v>0</v>
      </c>
      <c r="R82" s="41">
        <f>VLOOKUP(tbl_xbox[[#This Row],[EA Play Season Pass]],tbl_apoio5[[EA Play Season Pass]:[output2]],2,FALSE)</f>
        <v>0</v>
      </c>
      <c r="S82" s="41">
        <f>VLOOKUP(tbl_xbox[[#This Row],[Minecraft Season Pass]],tbl_apoio5[[Minecraft Season Pass]:[Minecraft Season Pass2]],2,FALSE)</f>
        <v>0</v>
      </c>
      <c r="T82" s="41">
        <f>SUM(tbl_xbox[[#This Row],[Plan2]:[Minecraft Season Pass2]])</f>
        <v>0</v>
      </c>
      <c r="U82" s="40" t="str">
        <f>VLOOKUP(tbl_xbox[[#This Row],[soma]],tbl_apoio5[[#All],[soma]:[output2]],2,FALSE)</f>
        <v>No Extras</v>
      </c>
      <c r="V82" s="7"/>
    </row>
    <row r="83" spans="1:22" ht="16.5" customHeight="1" x14ac:dyDescent="0.2">
      <c r="A83" s="4">
        <v>3312</v>
      </c>
      <c r="B83" s="4" t="s">
        <v>102</v>
      </c>
      <c r="C83" s="4" t="s">
        <v>10</v>
      </c>
      <c r="D83" s="6">
        <v>45429</v>
      </c>
      <c r="E83" s="4" t="s">
        <v>15</v>
      </c>
      <c r="F83" s="7">
        <v>15</v>
      </c>
      <c r="G83" s="4" t="s">
        <v>19</v>
      </c>
      <c r="H83" s="4" t="s">
        <v>11</v>
      </c>
      <c r="I83" s="7">
        <v>30</v>
      </c>
      <c r="J83" s="4" t="s">
        <v>11</v>
      </c>
      <c r="K83" s="7">
        <v>20</v>
      </c>
      <c r="L83" s="7">
        <v>7</v>
      </c>
      <c r="M83" s="7">
        <v>58</v>
      </c>
      <c r="N83" s="40" t="str">
        <f>IF(tbl_xbox[[#This Row],[Coupon Value]]=$L$3,"No","Yes")</f>
        <v>Yes</v>
      </c>
      <c r="O83" s="40" t="str">
        <f>IF(OR(tbl_xbox[[#This Row],[EA Play Season Pass]]="Yes",tbl_xbox[[#This Row],[Minecraft Season Pass]]="Yes"),"Yes","No")</f>
        <v>Yes</v>
      </c>
      <c r="P83" s="40">
        <f>tbl_xbox[[#This Row],[Subscription Price]]+tbl_xbox[[#This Row],[EA Play Season Pass
Price]]+tbl_xbox[[#This Row],[Minecraft Season Pass Price]]</f>
        <v>65</v>
      </c>
      <c r="Q83" s="41">
        <f>VLOOKUP(tbl_xbox[[#This Row],[Plan]],tbl_apoio5[#All],2,FALSE)</f>
        <v>2</v>
      </c>
      <c r="R83" s="41">
        <f>VLOOKUP(tbl_xbox[[#This Row],[EA Play Season Pass]],tbl_apoio5[[EA Play Season Pass]:[output2]],2,FALSE)</f>
        <v>3</v>
      </c>
      <c r="S83" s="41">
        <f>VLOOKUP(tbl_xbox[[#This Row],[Minecraft Season Pass]],tbl_apoio5[[Minecraft Season Pass]:[Minecraft Season Pass2]],2,FALSE)</f>
        <v>6</v>
      </c>
      <c r="T83" s="41">
        <f>SUM(tbl_xbox[[#This Row],[Plan2]:[Minecraft Season Pass2]])</f>
        <v>11</v>
      </c>
      <c r="U83" s="40" t="str">
        <f>VLOOKUP(tbl_xbox[[#This Row],[soma]],tbl_apoio5[[#All],[soma]:[output2]],2,FALSE)</f>
        <v>EA Play + Minecraft</v>
      </c>
      <c r="V83" s="7"/>
    </row>
    <row r="84" spans="1:22" ht="16.5" customHeight="1" x14ac:dyDescent="0.2">
      <c r="A84" s="4">
        <v>3313</v>
      </c>
      <c r="B84" s="4" t="s">
        <v>103</v>
      </c>
      <c r="C84" s="4" t="s">
        <v>18</v>
      </c>
      <c r="D84" s="6">
        <v>45430</v>
      </c>
      <c r="E84" s="4" t="s">
        <v>11</v>
      </c>
      <c r="F84" s="7">
        <v>10</v>
      </c>
      <c r="G84" s="4" t="s">
        <v>12</v>
      </c>
      <c r="H84" s="4" t="s">
        <v>15</v>
      </c>
      <c r="I84" s="7">
        <v>0</v>
      </c>
      <c r="J84" s="4" t="s">
        <v>11</v>
      </c>
      <c r="K84" s="7">
        <v>20</v>
      </c>
      <c r="L84" s="7">
        <v>10</v>
      </c>
      <c r="M84" s="7">
        <v>20</v>
      </c>
      <c r="N84" s="40" t="str">
        <f>IF(tbl_xbox[[#This Row],[Coupon Value]]=$L$3,"No","Yes")</f>
        <v>Yes</v>
      </c>
      <c r="O84" s="40" t="str">
        <f>IF(OR(tbl_xbox[[#This Row],[EA Play Season Pass]]="Yes",tbl_xbox[[#This Row],[Minecraft Season Pass]]="Yes"),"Yes","No")</f>
        <v>Yes</v>
      </c>
      <c r="P84" s="40">
        <f>tbl_xbox[[#This Row],[Subscription Price]]+tbl_xbox[[#This Row],[EA Play Season Pass
Price]]+tbl_xbox[[#This Row],[Minecraft Season Pass Price]]</f>
        <v>30</v>
      </c>
      <c r="Q84" s="41">
        <f>VLOOKUP(tbl_xbox[[#This Row],[Plan]],tbl_apoio5[#All],2,FALSE)</f>
        <v>1</v>
      </c>
      <c r="R84" s="41">
        <f>VLOOKUP(tbl_xbox[[#This Row],[EA Play Season Pass]],tbl_apoio5[[EA Play Season Pass]:[output2]],2,FALSE)</f>
        <v>0</v>
      </c>
      <c r="S84" s="41">
        <f>VLOOKUP(tbl_xbox[[#This Row],[Minecraft Season Pass]],tbl_apoio5[[Minecraft Season Pass]:[Minecraft Season Pass2]],2,FALSE)</f>
        <v>6</v>
      </c>
      <c r="T84" s="41">
        <f>SUM(tbl_xbox[[#This Row],[Plan2]:[Minecraft Season Pass2]])</f>
        <v>7</v>
      </c>
      <c r="U84" s="40" t="str">
        <f>VLOOKUP(tbl_xbox[[#This Row],[soma]],tbl_apoio5[[#All],[soma]:[output2]],2,FALSE)</f>
        <v>Minecraft</v>
      </c>
      <c r="V84" s="7"/>
    </row>
    <row r="85" spans="1:22" ht="16.5" customHeight="1" x14ac:dyDescent="0.2">
      <c r="A85" s="4">
        <v>3314</v>
      </c>
      <c r="B85" s="4" t="s">
        <v>104</v>
      </c>
      <c r="C85" s="4" t="s">
        <v>14</v>
      </c>
      <c r="D85" s="6">
        <v>45431</v>
      </c>
      <c r="E85" s="4" t="s">
        <v>15</v>
      </c>
      <c r="F85" s="7">
        <v>5</v>
      </c>
      <c r="G85" s="4" t="s">
        <v>16</v>
      </c>
      <c r="H85" s="4" t="s">
        <v>15</v>
      </c>
      <c r="I85" s="7">
        <v>0</v>
      </c>
      <c r="J85" s="4" t="s">
        <v>15</v>
      </c>
      <c r="K85" s="7">
        <v>0</v>
      </c>
      <c r="L85" s="7">
        <v>0</v>
      </c>
      <c r="M85" s="7">
        <v>5</v>
      </c>
      <c r="N85" s="40" t="str">
        <f>IF(tbl_xbox[[#This Row],[Coupon Value]]=$L$3,"No","Yes")</f>
        <v>No</v>
      </c>
      <c r="O85" s="40" t="str">
        <f>IF(OR(tbl_xbox[[#This Row],[EA Play Season Pass]]="Yes",tbl_xbox[[#This Row],[Minecraft Season Pass]]="Yes"),"Yes","No")</f>
        <v>No</v>
      </c>
      <c r="P85" s="40">
        <f>tbl_xbox[[#This Row],[Subscription Price]]+tbl_xbox[[#This Row],[EA Play Season Pass
Price]]+tbl_xbox[[#This Row],[Minecraft Season Pass Price]]</f>
        <v>5</v>
      </c>
      <c r="Q85" s="41">
        <f>VLOOKUP(tbl_xbox[[#This Row],[Plan]],tbl_apoio5[#All],2,FALSE)</f>
        <v>0</v>
      </c>
      <c r="R85" s="41">
        <f>VLOOKUP(tbl_xbox[[#This Row],[EA Play Season Pass]],tbl_apoio5[[EA Play Season Pass]:[output2]],2,FALSE)</f>
        <v>0</v>
      </c>
      <c r="S85" s="41">
        <f>VLOOKUP(tbl_xbox[[#This Row],[Minecraft Season Pass]],tbl_apoio5[[Minecraft Season Pass]:[Minecraft Season Pass2]],2,FALSE)</f>
        <v>0</v>
      </c>
      <c r="T85" s="41">
        <f>SUM(tbl_xbox[[#This Row],[Plan2]:[Minecraft Season Pass2]])</f>
        <v>0</v>
      </c>
      <c r="U85" s="40" t="str">
        <f>VLOOKUP(tbl_xbox[[#This Row],[soma]],tbl_apoio5[[#All],[soma]:[output2]],2,FALSE)</f>
        <v>No Extras</v>
      </c>
      <c r="V85" s="7"/>
    </row>
    <row r="86" spans="1:22" ht="16.5" customHeight="1" x14ac:dyDescent="0.2">
      <c r="A86" s="4">
        <v>3315</v>
      </c>
      <c r="B86" s="4" t="s">
        <v>105</v>
      </c>
      <c r="C86" s="4" t="s">
        <v>10</v>
      </c>
      <c r="D86" s="6">
        <v>45432</v>
      </c>
      <c r="E86" s="4" t="s">
        <v>11</v>
      </c>
      <c r="F86" s="7">
        <v>15</v>
      </c>
      <c r="G86" s="4" t="s">
        <v>12</v>
      </c>
      <c r="H86" s="4" t="s">
        <v>11</v>
      </c>
      <c r="I86" s="7">
        <v>30</v>
      </c>
      <c r="J86" s="4" t="s">
        <v>11</v>
      </c>
      <c r="K86" s="7">
        <v>20</v>
      </c>
      <c r="L86" s="7">
        <v>20</v>
      </c>
      <c r="M86" s="7">
        <v>45</v>
      </c>
      <c r="N86" s="40" t="str">
        <f>IF(tbl_xbox[[#This Row],[Coupon Value]]=$L$3,"No","Yes")</f>
        <v>Yes</v>
      </c>
      <c r="O86" s="40" t="str">
        <f>IF(OR(tbl_xbox[[#This Row],[EA Play Season Pass]]="Yes",tbl_xbox[[#This Row],[Minecraft Season Pass]]="Yes"),"Yes","No")</f>
        <v>Yes</v>
      </c>
      <c r="P86" s="40">
        <f>tbl_xbox[[#This Row],[Subscription Price]]+tbl_xbox[[#This Row],[EA Play Season Pass
Price]]+tbl_xbox[[#This Row],[Minecraft Season Pass Price]]</f>
        <v>65</v>
      </c>
      <c r="Q86" s="41">
        <f>VLOOKUP(tbl_xbox[[#This Row],[Plan]],tbl_apoio5[#All],2,FALSE)</f>
        <v>2</v>
      </c>
      <c r="R86" s="41">
        <f>VLOOKUP(tbl_xbox[[#This Row],[EA Play Season Pass]],tbl_apoio5[[EA Play Season Pass]:[output2]],2,FALSE)</f>
        <v>3</v>
      </c>
      <c r="S86" s="41">
        <f>VLOOKUP(tbl_xbox[[#This Row],[Minecraft Season Pass]],tbl_apoio5[[Minecraft Season Pass]:[Minecraft Season Pass2]],2,FALSE)</f>
        <v>6</v>
      </c>
      <c r="T86" s="41">
        <f>SUM(tbl_xbox[[#This Row],[Plan2]:[Minecraft Season Pass2]])</f>
        <v>11</v>
      </c>
      <c r="U86" s="40" t="str">
        <f>VLOOKUP(tbl_xbox[[#This Row],[soma]],tbl_apoio5[[#All],[soma]:[output2]],2,FALSE)</f>
        <v>EA Play + Minecraft</v>
      </c>
      <c r="V86" s="7"/>
    </row>
    <row r="87" spans="1:22" ht="16.5" customHeight="1" x14ac:dyDescent="0.2">
      <c r="A87" s="4">
        <v>3316</v>
      </c>
      <c r="B87" s="4" t="s">
        <v>106</v>
      </c>
      <c r="C87" s="4" t="s">
        <v>18</v>
      </c>
      <c r="D87" s="6">
        <v>45433</v>
      </c>
      <c r="E87" s="4" t="s">
        <v>15</v>
      </c>
      <c r="F87" s="7">
        <v>10</v>
      </c>
      <c r="G87" s="4" t="s">
        <v>19</v>
      </c>
      <c r="H87" s="4" t="s">
        <v>15</v>
      </c>
      <c r="I87" s="7">
        <v>0</v>
      </c>
      <c r="J87" s="4" t="s">
        <v>11</v>
      </c>
      <c r="K87" s="7">
        <v>20</v>
      </c>
      <c r="L87" s="7">
        <v>15</v>
      </c>
      <c r="M87" s="7">
        <v>15</v>
      </c>
      <c r="N87" s="40" t="str">
        <f>IF(tbl_xbox[[#This Row],[Coupon Value]]=$L$3,"No","Yes")</f>
        <v>Yes</v>
      </c>
      <c r="O87" s="40" t="str">
        <f>IF(OR(tbl_xbox[[#This Row],[EA Play Season Pass]]="Yes",tbl_xbox[[#This Row],[Minecraft Season Pass]]="Yes"),"Yes","No")</f>
        <v>Yes</v>
      </c>
      <c r="P87" s="40">
        <f>tbl_xbox[[#This Row],[Subscription Price]]+tbl_xbox[[#This Row],[EA Play Season Pass
Price]]+tbl_xbox[[#This Row],[Minecraft Season Pass Price]]</f>
        <v>30</v>
      </c>
      <c r="Q87" s="41">
        <f>VLOOKUP(tbl_xbox[[#This Row],[Plan]],tbl_apoio5[#All],2,FALSE)</f>
        <v>1</v>
      </c>
      <c r="R87" s="41">
        <f>VLOOKUP(tbl_xbox[[#This Row],[EA Play Season Pass]],tbl_apoio5[[EA Play Season Pass]:[output2]],2,FALSE)</f>
        <v>0</v>
      </c>
      <c r="S87" s="41">
        <f>VLOOKUP(tbl_xbox[[#This Row],[Minecraft Season Pass]],tbl_apoio5[[Minecraft Season Pass]:[Minecraft Season Pass2]],2,FALSE)</f>
        <v>6</v>
      </c>
      <c r="T87" s="41">
        <f>SUM(tbl_xbox[[#This Row],[Plan2]:[Minecraft Season Pass2]])</f>
        <v>7</v>
      </c>
      <c r="U87" s="40" t="str">
        <f>VLOOKUP(tbl_xbox[[#This Row],[soma]],tbl_apoio5[[#All],[soma]:[output2]],2,FALSE)</f>
        <v>Minecraft</v>
      </c>
      <c r="V87" s="7"/>
    </row>
    <row r="88" spans="1:22" ht="16.5" customHeight="1" x14ac:dyDescent="0.2">
      <c r="A88" s="4">
        <v>3317</v>
      </c>
      <c r="B88" s="4" t="s">
        <v>107</v>
      </c>
      <c r="C88" s="4" t="s">
        <v>14</v>
      </c>
      <c r="D88" s="6">
        <v>45434</v>
      </c>
      <c r="E88" s="4" t="s">
        <v>11</v>
      </c>
      <c r="F88" s="7">
        <v>5</v>
      </c>
      <c r="G88" s="4" t="s">
        <v>12</v>
      </c>
      <c r="H88" s="4" t="s">
        <v>15</v>
      </c>
      <c r="I88" s="7">
        <v>0</v>
      </c>
      <c r="J88" s="4" t="s">
        <v>15</v>
      </c>
      <c r="K88" s="7">
        <v>0</v>
      </c>
      <c r="L88" s="7">
        <v>1</v>
      </c>
      <c r="M88" s="7">
        <v>4</v>
      </c>
      <c r="N88" s="40" t="str">
        <f>IF(tbl_xbox[[#This Row],[Coupon Value]]=$L$3,"No","Yes")</f>
        <v>Yes</v>
      </c>
      <c r="O88" s="40" t="str">
        <f>IF(OR(tbl_xbox[[#This Row],[EA Play Season Pass]]="Yes",tbl_xbox[[#This Row],[Minecraft Season Pass]]="Yes"),"Yes","No")</f>
        <v>No</v>
      </c>
      <c r="P88" s="40">
        <f>tbl_xbox[[#This Row],[Subscription Price]]+tbl_xbox[[#This Row],[EA Play Season Pass
Price]]+tbl_xbox[[#This Row],[Minecraft Season Pass Price]]</f>
        <v>5</v>
      </c>
      <c r="Q88" s="41">
        <f>VLOOKUP(tbl_xbox[[#This Row],[Plan]],tbl_apoio5[#All],2,FALSE)</f>
        <v>0</v>
      </c>
      <c r="R88" s="41">
        <f>VLOOKUP(tbl_xbox[[#This Row],[EA Play Season Pass]],tbl_apoio5[[EA Play Season Pass]:[output2]],2,FALSE)</f>
        <v>0</v>
      </c>
      <c r="S88" s="41">
        <f>VLOOKUP(tbl_xbox[[#This Row],[Minecraft Season Pass]],tbl_apoio5[[Minecraft Season Pass]:[Minecraft Season Pass2]],2,FALSE)</f>
        <v>0</v>
      </c>
      <c r="T88" s="41">
        <f>SUM(tbl_xbox[[#This Row],[Plan2]:[Minecraft Season Pass2]])</f>
        <v>0</v>
      </c>
      <c r="U88" s="40" t="str">
        <f>VLOOKUP(tbl_xbox[[#This Row],[soma]],tbl_apoio5[[#All],[soma]:[output2]],2,FALSE)</f>
        <v>No Extras</v>
      </c>
      <c r="V88" s="7"/>
    </row>
    <row r="89" spans="1:22" ht="16.5" customHeight="1" x14ac:dyDescent="0.2">
      <c r="A89" s="4">
        <v>3318</v>
      </c>
      <c r="B89" s="4" t="s">
        <v>108</v>
      </c>
      <c r="C89" s="4" t="s">
        <v>10</v>
      </c>
      <c r="D89" s="6">
        <v>45435</v>
      </c>
      <c r="E89" s="4" t="s">
        <v>15</v>
      </c>
      <c r="F89" s="7">
        <v>15</v>
      </c>
      <c r="G89" s="4" t="s">
        <v>16</v>
      </c>
      <c r="H89" s="4" t="s">
        <v>11</v>
      </c>
      <c r="I89" s="7">
        <v>30</v>
      </c>
      <c r="J89" s="4" t="s">
        <v>11</v>
      </c>
      <c r="K89" s="7">
        <v>20</v>
      </c>
      <c r="L89" s="7">
        <v>3</v>
      </c>
      <c r="M89" s="7">
        <v>62</v>
      </c>
      <c r="N89" s="40" t="str">
        <f>IF(tbl_xbox[[#This Row],[Coupon Value]]=$L$3,"No","Yes")</f>
        <v>Yes</v>
      </c>
      <c r="O89" s="40" t="str">
        <f>IF(OR(tbl_xbox[[#This Row],[EA Play Season Pass]]="Yes",tbl_xbox[[#This Row],[Minecraft Season Pass]]="Yes"),"Yes","No")</f>
        <v>Yes</v>
      </c>
      <c r="P89" s="40">
        <f>tbl_xbox[[#This Row],[Subscription Price]]+tbl_xbox[[#This Row],[EA Play Season Pass
Price]]+tbl_xbox[[#This Row],[Minecraft Season Pass Price]]</f>
        <v>65</v>
      </c>
      <c r="Q89" s="41">
        <f>VLOOKUP(tbl_xbox[[#This Row],[Plan]],tbl_apoio5[#All],2,FALSE)</f>
        <v>2</v>
      </c>
      <c r="R89" s="41">
        <f>VLOOKUP(tbl_xbox[[#This Row],[EA Play Season Pass]],tbl_apoio5[[EA Play Season Pass]:[output2]],2,FALSE)</f>
        <v>3</v>
      </c>
      <c r="S89" s="41">
        <f>VLOOKUP(tbl_xbox[[#This Row],[Minecraft Season Pass]],tbl_apoio5[[Minecraft Season Pass]:[Minecraft Season Pass2]],2,FALSE)</f>
        <v>6</v>
      </c>
      <c r="T89" s="41">
        <f>SUM(tbl_xbox[[#This Row],[Plan2]:[Minecraft Season Pass2]])</f>
        <v>11</v>
      </c>
      <c r="U89" s="40" t="str">
        <f>VLOOKUP(tbl_xbox[[#This Row],[soma]],tbl_apoio5[[#All],[soma]:[output2]],2,FALSE)</f>
        <v>EA Play + Minecraft</v>
      </c>
      <c r="V89" s="7"/>
    </row>
    <row r="90" spans="1:22" ht="16.5" customHeight="1" x14ac:dyDescent="0.2">
      <c r="A90" s="4">
        <v>3319</v>
      </c>
      <c r="B90" s="4" t="s">
        <v>109</v>
      </c>
      <c r="C90" s="4" t="s">
        <v>18</v>
      </c>
      <c r="D90" s="6">
        <v>45436</v>
      </c>
      <c r="E90" s="4" t="s">
        <v>11</v>
      </c>
      <c r="F90" s="7">
        <v>10</v>
      </c>
      <c r="G90" s="4" t="s">
        <v>12</v>
      </c>
      <c r="H90" s="4" t="s">
        <v>15</v>
      </c>
      <c r="I90" s="7">
        <v>0</v>
      </c>
      <c r="J90" s="4" t="s">
        <v>11</v>
      </c>
      <c r="K90" s="7">
        <v>20</v>
      </c>
      <c r="L90" s="7">
        <v>10</v>
      </c>
      <c r="M90" s="7">
        <v>20</v>
      </c>
      <c r="N90" s="40" t="str">
        <f>IF(tbl_xbox[[#This Row],[Coupon Value]]=$L$3,"No","Yes")</f>
        <v>Yes</v>
      </c>
      <c r="O90" s="40" t="str">
        <f>IF(OR(tbl_xbox[[#This Row],[EA Play Season Pass]]="Yes",tbl_xbox[[#This Row],[Minecraft Season Pass]]="Yes"),"Yes","No")</f>
        <v>Yes</v>
      </c>
      <c r="P90" s="40">
        <f>tbl_xbox[[#This Row],[Subscription Price]]+tbl_xbox[[#This Row],[EA Play Season Pass
Price]]+tbl_xbox[[#This Row],[Minecraft Season Pass Price]]</f>
        <v>30</v>
      </c>
      <c r="Q90" s="41">
        <f>VLOOKUP(tbl_xbox[[#This Row],[Plan]],tbl_apoio5[#All],2,FALSE)</f>
        <v>1</v>
      </c>
      <c r="R90" s="41">
        <f>VLOOKUP(tbl_xbox[[#This Row],[EA Play Season Pass]],tbl_apoio5[[EA Play Season Pass]:[output2]],2,FALSE)</f>
        <v>0</v>
      </c>
      <c r="S90" s="41">
        <f>VLOOKUP(tbl_xbox[[#This Row],[Minecraft Season Pass]],tbl_apoio5[[Minecraft Season Pass]:[Minecraft Season Pass2]],2,FALSE)</f>
        <v>6</v>
      </c>
      <c r="T90" s="41">
        <f>SUM(tbl_xbox[[#This Row],[Plan2]:[Minecraft Season Pass2]])</f>
        <v>7</v>
      </c>
      <c r="U90" s="40" t="str">
        <f>VLOOKUP(tbl_xbox[[#This Row],[soma]],tbl_apoio5[[#All],[soma]:[output2]],2,FALSE)</f>
        <v>Minecraft</v>
      </c>
      <c r="V90" s="7"/>
    </row>
    <row r="91" spans="1:22" ht="16.5" customHeight="1" x14ac:dyDescent="0.2">
      <c r="A91" s="4">
        <v>3320</v>
      </c>
      <c r="B91" s="4" t="s">
        <v>110</v>
      </c>
      <c r="C91" s="4" t="s">
        <v>14</v>
      </c>
      <c r="D91" s="6">
        <v>45437</v>
      </c>
      <c r="E91" s="4" t="s">
        <v>15</v>
      </c>
      <c r="F91" s="7">
        <v>5</v>
      </c>
      <c r="G91" s="4" t="s">
        <v>19</v>
      </c>
      <c r="H91" s="4" t="s">
        <v>15</v>
      </c>
      <c r="I91" s="7">
        <v>0</v>
      </c>
      <c r="J91" s="4" t="s">
        <v>15</v>
      </c>
      <c r="K91" s="7">
        <v>0</v>
      </c>
      <c r="L91" s="7">
        <v>0</v>
      </c>
      <c r="M91" s="7">
        <v>5</v>
      </c>
      <c r="N91" s="40" t="str">
        <f>IF(tbl_xbox[[#This Row],[Coupon Value]]=$L$3,"No","Yes")</f>
        <v>No</v>
      </c>
      <c r="O91" s="40" t="str">
        <f>IF(OR(tbl_xbox[[#This Row],[EA Play Season Pass]]="Yes",tbl_xbox[[#This Row],[Minecraft Season Pass]]="Yes"),"Yes","No")</f>
        <v>No</v>
      </c>
      <c r="P91" s="40">
        <f>tbl_xbox[[#This Row],[Subscription Price]]+tbl_xbox[[#This Row],[EA Play Season Pass
Price]]+tbl_xbox[[#This Row],[Minecraft Season Pass Price]]</f>
        <v>5</v>
      </c>
      <c r="Q91" s="41">
        <f>VLOOKUP(tbl_xbox[[#This Row],[Plan]],tbl_apoio5[#All],2,FALSE)</f>
        <v>0</v>
      </c>
      <c r="R91" s="41">
        <f>VLOOKUP(tbl_xbox[[#This Row],[EA Play Season Pass]],tbl_apoio5[[EA Play Season Pass]:[output2]],2,FALSE)</f>
        <v>0</v>
      </c>
      <c r="S91" s="41">
        <f>VLOOKUP(tbl_xbox[[#This Row],[Minecraft Season Pass]],tbl_apoio5[[Minecraft Season Pass]:[Minecraft Season Pass2]],2,FALSE)</f>
        <v>0</v>
      </c>
      <c r="T91" s="41">
        <f>SUM(tbl_xbox[[#This Row],[Plan2]:[Minecraft Season Pass2]])</f>
        <v>0</v>
      </c>
      <c r="U91" s="40" t="str">
        <f>VLOOKUP(tbl_xbox[[#This Row],[soma]],tbl_apoio5[[#All],[soma]:[output2]],2,FALSE)</f>
        <v>No Extras</v>
      </c>
      <c r="V91" s="7"/>
    </row>
    <row r="92" spans="1:22" ht="16.5" customHeight="1" x14ac:dyDescent="0.2">
      <c r="A92" s="4">
        <v>3321</v>
      </c>
      <c r="B92" s="4" t="s">
        <v>111</v>
      </c>
      <c r="C92" s="4" t="s">
        <v>10</v>
      </c>
      <c r="D92" s="6">
        <v>45438</v>
      </c>
      <c r="E92" s="4" t="s">
        <v>11</v>
      </c>
      <c r="F92" s="7">
        <v>15</v>
      </c>
      <c r="G92" s="4" t="s">
        <v>12</v>
      </c>
      <c r="H92" s="4" t="s">
        <v>11</v>
      </c>
      <c r="I92" s="7">
        <v>30</v>
      </c>
      <c r="J92" s="4" t="s">
        <v>11</v>
      </c>
      <c r="K92" s="7">
        <v>20</v>
      </c>
      <c r="L92" s="7">
        <v>5</v>
      </c>
      <c r="M92" s="7">
        <v>60</v>
      </c>
      <c r="N92" s="40" t="str">
        <f>IF(tbl_xbox[[#This Row],[Coupon Value]]=$L$3,"No","Yes")</f>
        <v>Yes</v>
      </c>
      <c r="O92" s="40" t="str">
        <f>IF(OR(tbl_xbox[[#This Row],[EA Play Season Pass]]="Yes",tbl_xbox[[#This Row],[Minecraft Season Pass]]="Yes"),"Yes","No")</f>
        <v>Yes</v>
      </c>
      <c r="P92" s="40">
        <f>tbl_xbox[[#This Row],[Subscription Price]]+tbl_xbox[[#This Row],[EA Play Season Pass
Price]]+tbl_xbox[[#This Row],[Minecraft Season Pass Price]]</f>
        <v>65</v>
      </c>
      <c r="Q92" s="41">
        <f>VLOOKUP(tbl_xbox[[#This Row],[Plan]],tbl_apoio5[#All],2,FALSE)</f>
        <v>2</v>
      </c>
      <c r="R92" s="41">
        <f>VLOOKUP(tbl_xbox[[#This Row],[EA Play Season Pass]],tbl_apoio5[[EA Play Season Pass]:[output2]],2,FALSE)</f>
        <v>3</v>
      </c>
      <c r="S92" s="41">
        <f>VLOOKUP(tbl_xbox[[#This Row],[Minecraft Season Pass]],tbl_apoio5[[Minecraft Season Pass]:[Minecraft Season Pass2]],2,FALSE)</f>
        <v>6</v>
      </c>
      <c r="T92" s="41">
        <f>SUM(tbl_xbox[[#This Row],[Plan2]:[Minecraft Season Pass2]])</f>
        <v>11</v>
      </c>
      <c r="U92" s="40" t="str">
        <f>VLOOKUP(tbl_xbox[[#This Row],[soma]],tbl_apoio5[[#All],[soma]:[output2]],2,FALSE)</f>
        <v>EA Play + Minecraft</v>
      </c>
      <c r="V92" s="7"/>
    </row>
    <row r="93" spans="1:22" ht="16.5" customHeight="1" x14ac:dyDescent="0.2">
      <c r="A93" s="4">
        <v>3322</v>
      </c>
      <c r="B93" s="4" t="s">
        <v>112</v>
      </c>
      <c r="C93" s="4" t="s">
        <v>18</v>
      </c>
      <c r="D93" s="6">
        <v>45439</v>
      </c>
      <c r="E93" s="4" t="s">
        <v>15</v>
      </c>
      <c r="F93" s="7">
        <v>10</v>
      </c>
      <c r="G93" s="4" t="s">
        <v>16</v>
      </c>
      <c r="H93" s="4" t="s">
        <v>15</v>
      </c>
      <c r="I93" s="7">
        <v>0</v>
      </c>
      <c r="J93" s="4" t="s">
        <v>11</v>
      </c>
      <c r="K93" s="7">
        <v>20</v>
      </c>
      <c r="L93" s="7">
        <v>15</v>
      </c>
      <c r="M93" s="7">
        <v>15</v>
      </c>
      <c r="N93" s="40" t="str">
        <f>IF(tbl_xbox[[#This Row],[Coupon Value]]=$L$3,"No","Yes")</f>
        <v>Yes</v>
      </c>
      <c r="O93" s="40" t="str">
        <f>IF(OR(tbl_xbox[[#This Row],[EA Play Season Pass]]="Yes",tbl_xbox[[#This Row],[Minecraft Season Pass]]="Yes"),"Yes","No")</f>
        <v>Yes</v>
      </c>
      <c r="P93" s="40">
        <f>tbl_xbox[[#This Row],[Subscription Price]]+tbl_xbox[[#This Row],[EA Play Season Pass
Price]]+tbl_xbox[[#This Row],[Minecraft Season Pass Price]]</f>
        <v>30</v>
      </c>
      <c r="Q93" s="41">
        <f>VLOOKUP(tbl_xbox[[#This Row],[Plan]],tbl_apoio5[#All],2,FALSE)</f>
        <v>1</v>
      </c>
      <c r="R93" s="41">
        <f>VLOOKUP(tbl_xbox[[#This Row],[EA Play Season Pass]],tbl_apoio5[[EA Play Season Pass]:[output2]],2,FALSE)</f>
        <v>0</v>
      </c>
      <c r="S93" s="41">
        <f>VLOOKUP(tbl_xbox[[#This Row],[Minecraft Season Pass]],tbl_apoio5[[Minecraft Season Pass]:[Minecraft Season Pass2]],2,FALSE)</f>
        <v>6</v>
      </c>
      <c r="T93" s="41">
        <f>SUM(tbl_xbox[[#This Row],[Plan2]:[Minecraft Season Pass2]])</f>
        <v>7</v>
      </c>
      <c r="U93" s="40" t="str">
        <f>VLOOKUP(tbl_xbox[[#This Row],[soma]],tbl_apoio5[[#All],[soma]:[output2]],2,FALSE)</f>
        <v>Minecraft</v>
      </c>
      <c r="V93" s="7"/>
    </row>
    <row r="94" spans="1:22" ht="16.5" customHeight="1" x14ac:dyDescent="0.2">
      <c r="A94" s="4">
        <v>3323</v>
      </c>
      <c r="B94" s="4" t="s">
        <v>113</v>
      </c>
      <c r="C94" s="4" t="s">
        <v>14</v>
      </c>
      <c r="D94" s="6">
        <v>45440</v>
      </c>
      <c r="E94" s="4" t="s">
        <v>11</v>
      </c>
      <c r="F94" s="7">
        <v>5</v>
      </c>
      <c r="G94" s="4" t="s">
        <v>12</v>
      </c>
      <c r="H94" s="4" t="s">
        <v>15</v>
      </c>
      <c r="I94" s="7">
        <v>0</v>
      </c>
      <c r="J94" s="4" t="s">
        <v>15</v>
      </c>
      <c r="K94" s="7">
        <v>0</v>
      </c>
      <c r="L94" s="7">
        <v>1</v>
      </c>
      <c r="M94" s="7">
        <v>4</v>
      </c>
      <c r="N94" s="40" t="str">
        <f>IF(tbl_xbox[[#This Row],[Coupon Value]]=$L$3,"No","Yes")</f>
        <v>Yes</v>
      </c>
      <c r="O94" s="40" t="str">
        <f>IF(OR(tbl_xbox[[#This Row],[EA Play Season Pass]]="Yes",tbl_xbox[[#This Row],[Minecraft Season Pass]]="Yes"),"Yes","No")</f>
        <v>No</v>
      </c>
      <c r="P94" s="40">
        <f>tbl_xbox[[#This Row],[Subscription Price]]+tbl_xbox[[#This Row],[EA Play Season Pass
Price]]+tbl_xbox[[#This Row],[Minecraft Season Pass Price]]</f>
        <v>5</v>
      </c>
      <c r="Q94" s="41">
        <f>VLOOKUP(tbl_xbox[[#This Row],[Plan]],tbl_apoio5[#All],2,FALSE)</f>
        <v>0</v>
      </c>
      <c r="R94" s="41">
        <f>VLOOKUP(tbl_xbox[[#This Row],[EA Play Season Pass]],tbl_apoio5[[EA Play Season Pass]:[output2]],2,FALSE)</f>
        <v>0</v>
      </c>
      <c r="S94" s="41">
        <f>VLOOKUP(tbl_xbox[[#This Row],[Minecraft Season Pass]],tbl_apoio5[[Minecraft Season Pass]:[Minecraft Season Pass2]],2,FALSE)</f>
        <v>0</v>
      </c>
      <c r="T94" s="41">
        <f>SUM(tbl_xbox[[#This Row],[Plan2]:[Minecraft Season Pass2]])</f>
        <v>0</v>
      </c>
      <c r="U94" s="40" t="str">
        <f>VLOOKUP(tbl_xbox[[#This Row],[soma]],tbl_apoio5[[#All],[soma]:[output2]],2,FALSE)</f>
        <v>No Extras</v>
      </c>
      <c r="V94" s="7"/>
    </row>
    <row r="95" spans="1:22" ht="16.5" customHeight="1" x14ac:dyDescent="0.2">
      <c r="A95" s="4">
        <v>3324</v>
      </c>
      <c r="B95" s="4" t="s">
        <v>114</v>
      </c>
      <c r="C95" s="4" t="s">
        <v>10</v>
      </c>
      <c r="D95" s="6">
        <v>45441</v>
      </c>
      <c r="E95" s="4" t="s">
        <v>15</v>
      </c>
      <c r="F95" s="7">
        <v>15</v>
      </c>
      <c r="G95" s="4" t="s">
        <v>19</v>
      </c>
      <c r="H95" s="4" t="s">
        <v>11</v>
      </c>
      <c r="I95" s="7">
        <v>30</v>
      </c>
      <c r="J95" s="4" t="s">
        <v>11</v>
      </c>
      <c r="K95" s="7">
        <v>20</v>
      </c>
      <c r="L95" s="7">
        <v>20</v>
      </c>
      <c r="M95" s="7">
        <v>45</v>
      </c>
      <c r="N95" s="40" t="str">
        <f>IF(tbl_xbox[[#This Row],[Coupon Value]]=$L$3,"No","Yes")</f>
        <v>Yes</v>
      </c>
      <c r="O95" s="40" t="str">
        <f>IF(OR(tbl_xbox[[#This Row],[EA Play Season Pass]]="Yes",tbl_xbox[[#This Row],[Minecraft Season Pass]]="Yes"),"Yes","No")</f>
        <v>Yes</v>
      </c>
      <c r="P95" s="40">
        <f>tbl_xbox[[#This Row],[Subscription Price]]+tbl_xbox[[#This Row],[EA Play Season Pass
Price]]+tbl_xbox[[#This Row],[Minecraft Season Pass Price]]</f>
        <v>65</v>
      </c>
      <c r="Q95" s="41">
        <f>VLOOKUP(tbl_xbox[[#This Row],[Plan]],tbl_apoio5[#All],2,FALSE)</f>
        <v>2</v>
      </c>
      <c r="R95" s="41">
        <f>VLOOKUP(tbl_xbox[[#This Row],[EA Play Season Pass]],tbl_apoio5[[EA Play Season Pass]:[output2]],2,FALSE)</f>
        <v>3</v>
      </c>
      <c r="S95" s="41">
        <f>VLOOKUP(tbl_xbox[[#This Row],[Minecraft Season Pass]],tbl_apoio5[[Minecraft Season Pass]:[Minecraft Season Pass2]],2,FALSE)</f>
        <v>6</v>
      </c>
      <c r="T95" s="41">
        <f>SUM(tbl_xbox[[#This Row],[Plan2]:[Minecraft Season Pass2]])</f>
        <v>11</v>
      </c>
      <c r="U95" s="40" t="str">
        <f>VLOOKUP(tbl_xbox[[#This Row],[soma]],tbl_apoio5[[#All],[soma]:[output2]],2,FALSE)</f>
        <v>EA Play + Minecraft</v>
      </c>
      <c r="V95" s="7"/>
    </row>
    <row r="96" spans="1:22" ht="16.5" customHeight="1" x14ac:dyDescent="0.2">
      <c r="A96" s="4">
        <v>3325</v>
      </c>
      <c r="B96" s="4" t="s">
        <v>115</v>
      </c>
      <c r="C96" s="4" t="s">
        <v>18</v>
      </c>
      <c r="D96" s="6">
        <v>45442</v>
      </c>
      <c r="E96" s="4" t="s">
        <v>11</v>
      </c>
      <c r="F96" s="7">
        <v>10</v>
      </c>
      <c r="G96" s="4" t="s">
        <v>19</v>
      </c>
      <c r="H96" s="4" t="s">
        <v>15</v>
      </c>
      <c r="I96" s="7">
        <v>0</v>
      </c>
      <c r="J96" s="4" t="s">
        <v>11</v>
      </c>
      <c r="K96" s="7">
        <v>20</v>
      </c>
      <c r="L96" s="7">
        <v>15</v>
      </c>
      <c r="M96" s="7">
        <v>15</v>
      </c>
      <c r="N96" s="40" t="str">
        <f>IF(tbl_xbox[[#This Row],[Coupon Value]]=$L$3,"No","Yes")</f>
        <v>Yes</v>
      </c>
      <c r="O96" s="40" t="str">
        <f>IF(OR(tbl_xbox[[#This Row],[EA Play Season Pass]]="Yes",tbl_xbox[[#This Row],[Minecraft Season Pass]]="Yes"),"Yes","No")</f>
        <v>Yes</v>
      </c>
      <c r="P96" s="40">
        <f>tbl_xbox[[#This Row],[Subscription Price]]+tbl_xbox[[#This Row],[EA Play Season Pass
Price]]+tbl_xbox[[#This Row],[Minecraft Season Pass Price]]</f>
        <v>30</v>
      </c>
      <c r="Q96" s="41">
        <f>VLOOKUP(tbl_xbox[[#This Row],[Plan]],tbl_apoio5[#All],2,FALSE)</f>
        <v>1</v>
      </c>
      <c r="R96" s="41">
        <f>VLOOKUP(tbl_xbox[[#This Row],[EA Play Season Pass]],tbl_apoio5[[EA Play Season Pass]:[output2]],2,FALSE)</f>
        <v>0</v>
      </c>
      <c r="S96" s="41">
        <f>VLOOKUP(tbl_xbox[[#This Row],[Minecraft Season Pass]],tbl_apoio5[[Minecraft Season Pass]:[Minecraft Season Pass2]],2,FALSE)</f>
        <v>6</v>
      </c>
      <c r="T96" s="41">
        <f>SUM(tbl_xbox[[#This Row],[Plan2]:[Minecraft Season Pass2]])</f>
        <v>7</v>
      </c>
      <c r="U96" s="40" t="str">
        <f>VLOOKUP(tbl_xbox[[#This Row],[soma]],tbl_apoio5[[#All],[soma]:[output2]],2,FALSE)</f>
        <v>Minecraft</v>
      </c>
      <c r="V96" s="7"/>
    </row>
    <row r="97" spans="1:22" ht="16.5" customHeight="1" x14ac:dyDescent="0.2">
      <c r="A97" s="4">
        <v>3326</v>
      </c>
      <c r="B97" s="4" t="s">
        <v>116</v>
      </c>
      <c r="C97" s="4" t="s">
        <v>14</v>
      </c>
      <c r="D97" s="6">
        <v>45443</v>
      </c>
      <c r="E97" s="4" t="s">
        <v>15</v>
      </c>
      <c r="F97" s="7">
        <v>5</v>
      </c>
      <c r="G97" s="4" t="s">
        <v>16</v>
      </c>
      <c r="H97" s="4" t="s">
        <v>15</v>
      </c>
      <c r="I97" s="7">
        <v>0</v>
      </c>
      <c r="J97" s="4" t="s">
        <v>15</v>
      </c>
      <c r="K97" s="7">
        <v>0</v>
      </c>
      <c r="L97" s="7">
        <v>0</v>
      </c>
      <c r="M97" s="7">
        <v>5</v>
      </c>
      <c r="N97" s="40" t="str">
        <f>IF(tbl_xbox[[#This Row],[Coupon Value]]=$L$3,"No","Yes")</f>
        <v>No</v>
      </c>
      <c r="O97" s="40" t="str">
        <f>IF(OR(tbl_xbox[[#This Row],[EA Play Season Pass]]="Yes",tbl_xbox[[#This Row],[Minecraft Season Pass]]="Yes"),"Yes","No")</f>
        <v>No</v>
      </c>
      <c r="P97" s="40">
        <f>tbl_xbox[[#This Row],[Subscription Price]]+tbl_xbox[[#This Row],[EA Play Season Pass
Price]]+tbl_xbox[[#This Row],[Minecraft Season Pass Price]]</f>
        <v>5</v>
      </c>
      <c r="Q97" s="41">
        <f>VLOOKUP(tbl_xbox[[#This Row],[Plan]],tbl_apoio5[#All],2,FALSE)</f>
        <v>0</v>
      </c>
      <c r="R97" s="41">
        <f>VLOOKUP(tbl_xbox[[#This Row],[EA Play Season Pass]],tbl_apoio5[[EA Play Season Pass]:[output2]],2,FALSE)</f>
        <v>0</v>
      </c>
      <c r="S97" s="41">
        <f>VLOOKUP(tbl_xbox[[#This Row],[Minecraft Season Pass]],tbl_apoio5[[Minecraft Season Pass]:[Minecraft Season Pass2]],2,FALSE)</f>
        <v>0</v>
      </c>
      <c r="T97" s="41">
        <f>SUM(tbl_xbox[[#This Row],[Plan2]:[Minecraft Season Pass2]])</f>
        <v>0</v>
      </c>
      <c r="U97" s="40" t="str">
        <f>VLOOKUP(tbl_xbox[[#This Row],[soma]],tbl_apoio5[[#All],[soma]:[output2]],2,FALSE)</f>
        <v>No Extras</v>
      </c>
      <c r="V97" s="7"/>
    </row>
    <row r="98" spans="1:22" ht="16.5" customHeight="1" x14ac:dyDescent="0.2">
      <c r="A98" s="4">
        <v>3327</v>
      </c>
      <c r="B98" s="4" t="s">
        <v>117</v>
      </c>
      <c r="C98" s="4" t="s">
        <v>10</v>
      </c>
      <c r="D98" s="6">
        <v>45444</v>
      </c>
      <c r="E98" s="4" t="s">
        <v>11</v>
      </c>
      <c r="F98" s="7">
        <v>15</v>
      </c>
      <c r="G98" s="4" t="s">
        <v>12</v>
      </c>
      <c r="H98" s="4" t="s">
        <v>11</v>
      </c>
      <c r="I98" s="7">
        <v>30</v>
      </c>
      <c r="J98" s="4" t="s">
        <v>11</v>
      </c>
      <c r="K98" s="7">
        <v>20</v>
      </c>
      <c r="L98" s="7">
        <v>7</v>
      </c>
      <c r="M98" s="7">
        <v>58</v>
      </c>
      <c r="N98" s="40" t="str">
        <f>IF(tbl_xbox[[#This Row],[Coupon Value]]=$L$3,"No","Yes")</f>
        <v>Yes</v>
      </c>
      <c r="O98" s="40" t="str">
        <f>IF(OR(tbl_xbox[[#This Row],[EA Play Season Pass]]="Yes",tbl_xbox[[#This Row],[Minecraft Season Pass]]="Yes"),"Yes","No")</f>
        <v>Yes</v>
      </c>
      <c r="P98" s="40">
        <f>tbl_xbox[[#This Row],[Subscription Price]]+tbl_xbox[[#This Row],[EA Play Season Pass
Price]]+tbl_xbox[[#This Row],[Minecraft Season Pass Price]]</f>
        <v>65</v>
      </c>
      <c r="Q98" s="41">
        <f>VLOOKUP(tbl_xbox[[#This Row],[Plan]],tbl_apoio5[#All],2,FALSE)</f>
        <v>2</v>
      </c>
      <c r="R98" s="41">
        <f>VLOOKUP(tbl_xbox[[#This Row],[EA Play Season Pass]],tbl_apoio5[[EA Play Season Pass]:[output2]],2,FALSE)</f>
        <v>3</v>
      </c>
      <c r="S98" s="41">
        <f>VLOOKUP(tbl_xbox[[#This Row],[Minecraft Season Pass]],tbl_apoio5[[Minecraft Season Pass]:[Minecraft Season Pass2]],2,FALSE)</f>
        <v>6</v>
      </c>
      <c r="T98" s="41">
        <f>SUM(tbl_xbox[[#This Row],[Plan2]:[Minecraft Season Pass2]])</f>
        <v>11</v>
      </c>
      <c r="U98" s="40" t="str">
        <f>VLOOKUP(tbl_xbox[[#This Row],[soma]],tbl_apoio5[[#All],[soma]:[output2]],2,FALSE)</f>
        <v>EA Play + Minecraft</v>
      </c>
      <c r="V98" s="7"/>
    </row>
    <row r="99" spans="1:22" ht="16.5" customHeight="1" x14ac:dyDescent="0.2">
      <c r="A99" s="4">
        <v>3328</v>
      </c>
      <c r="B99" s="4" t="s">
        <v>118</v>
      </c>
      <c r="C99" s="4" t="s">
        <v>18</v>
      </c>
      <c r="D99" s="6">
        <v>45445</v>
      </c>
      <c r="E99" s="4" t="s">
        <v>15</v>
      </c>
      <c r="F99" s="7">
        <v>10</v>
      </c>
      <c r="G99" s="4" t="s">
        <v>16</v>
      </c>
      <c r="H99" s="4" t="s">
        <v>15</v>
      </c>
      <c r="I99" s="7">
        <v>0</v>
      </c>
      <c r="J99" s="4" t="s">
        <v>11</v>
      </c>
      <c r="K99" s="7">
        <v>20</v>
      </c>
      <c r="L99" s="7">
        <v>10</v>
      </c>
      <c r="M99" s="7">
        <v>20</v>
      </c>
      <c r="N99" s="40" t="str">
        <f>IF(tbl_xbox[[#This Row],[Coupon Value]]=$L$3,"No","Yes")</f>
        <v>Yes</v>
      </c>
      <c r="O99" s="40" t="str">
        <f>IF(OR(tbl_xbox[[#This Row],[EA Play Season Pass]]="Yes",tbl_xbox[[#This Row],[Minecraft Season Pass]]="Yes"),"Yes","No")</f>
        <v>Yes</v>
      </c>
      <c r="P99" s="40">
        <f>tbl_xbox[[#This Row],[Subscription Price]]+tbl_xbox[[#This Row],[EA Play Season Pass
Price]]+tbl_xbox[[#This Row],[Minecraft Season Pass Price]]</f>
        <v>30</v>
      </c>
      <c r="Q99" s="41">
        <f>VLOOKUP(tbl_xbox[[#This Row],[Plan]],tbl_apoio5[#All],2,FALSE)</f>
        <v>1</v>
      </c>
      <c r="R99" s="41">
        <f>VLOOKUP(tbl_xbox[[#This Row],[EA Play Season Pass]],tbl_apoio5[[EA Play Season Pass]:[output2]],2,FALSE)</f>
        <v>0</v>
      </c>
      <c r="S99" s="41">
        <f>VLOOKUP(tbl_xbox[[#This Row],[Minecraft Season Pass]],tbl_apoio5[[Minecraft Season Pass]:[Minecraft Season Pass2]],2,FALSE)</f>
        <v>6</v>
      </c>
      <c r="T99" s="41">
        <f>SUM(tbl_xbox[[#This Row],[Plan2]:[Minecraft Season Pass2]])</f>
        <v>7</v>
      </c>
      <c r="U99" s="40" t="str">
        <f>VLOOKUP(tbl_xbox[[#This Row],[soma]],tbl_apoio5[[#All],[soma]:[output2]],2,FALSE)</f>
        <v>Minecraft</v>
      </c>
      <c r="V99" s="7"/>
    </row>
    <row r="100" spans="1:22" ht="16.5" customHeight="1" x14ac:dyDescent="0.2">
      <c r="A100" s="4">
        <v>3329</v>
      </c>
      <c r="B100" s="4" t="s">
        <v>119</v>
      </c>
      <c r="C100" s="4" t="s">
        <v>14</v>
      </c>
      <c r="D100" s="6">
        <v>45446</v>
      </c>
      <c r="E100" s="4" t="s">
        <v>11</v>
      </c>
      <c r="F100" s="7">
        <v>5</v>
      </c>
      <c r="G100" s="4" t="s">
        <v>19</v>
      </c>
      <c r="H100" s="4" t="s">
        <v>15</v>
      </c>
      <c r="I100" s="7">
        <v>0</v>
      </c>
      <c r="J100" s="4" t="s">
        <v>15</v>
      </c>
      <c r="K100" s="7">
        <v>0</v>
      </c>
      <c r="L100" s="7">
        <v>1</v>
      </c>
      <c r="M100" s="7">
        <v>4</v>
      </c>
      <c r="N100" s="40" t="str">
        <f>IF(tbl_xbox[[#This Row],[Coupon Value]]=$L$3,"No","Yes")</f>
        <v>Yes</v>
      </c>
      <c r="O100" s="40" t="str">
        <f>IF(OR(tbl_xbox[[#This Row],[EA Play Season Pass]]="Yes",tbl_xbox[[#This Row],[Minecraft Season Pass]]="Yes"),"Yes","No")</f>
        <v>No</v>
      </c>
      <c r="P100" s="40">
        <f>tbl_xbox[[#This Row],[Subscription Price]]+tbl_xbox[[#This Row],[EA Play Season Pass
Price]]+tbl_xbox[[#This Row],[Minecraft Season Pass Price]]</f>
        <v>5</v>
      </c>
      <c r="Q100" s="41">
        <f>VLOOKUP(tbl_xbox[[#This Row],[Plan]],tbl_apoio5[#All],2,FALSE)</f>
        <v>0</v>
      </c>
      <c r="R100" s="41">
        <f>VLOOKUP(tbl_xbox[[#This Row],[EA Play Season Pass]],tbl_apoio5[[EA Play Season Pass]:[output2]],2,FALSE)</f>
        <v>0</v>
      </c>
      <c r="S100" s="41">
        <f>VLOOKUP(tbl_xbox[[#This Row],[Minecraft Season Pass]],tbl_apoio5[[Minecraft Season Pass]:[Minecraft Season Pass2]],2,FALSE)</f>
        <v>0</v>
      </c>
      <c r="T100" s="41">
        <f>SUM(tbl_xbox[[#This Row],[Plan2]:[Minecraft Season Pass2]])</f>
        <v>0</v>
      </c>
      <c r="U100" s="40" t="str">
        <f>VLOOKUP(tbl_xbox[[#This Row],[soma]],tbl_apoio5[[#All],[soma]:[output2]],2,FALSE)</f>
        <v>No Extras</v>
      </c>
      <c r="V100" s="7"/>
    </row>
    <row r="101" spans="1:22" ht="16.5" customHeight="1" x14ac:dyDescent="0.2">
      <c r="A101" s="4">
        <v>3330</v>
      </c>
      <c r="B101" s="4" t="s">
        <v>120</v>
      </c>
      <c r="C101" s="4" t="s">
        <v>10</v>
      </c>
      <c r="D101" s="6">
        <v>45447</v>
      </c>
      <c r="E101" s="4" t="s">
        <v>15</v>
      </c>
      <c r="F101" s="7">
        <v>15</v>
      </c>
      <c r="G101" s="4" t="s">
        <v>12</v>
      </c>
      <c r="H101" s="4" t="s">
        <v>11</v>
      </c>
      <c r="I101" s="7">
        <v>30</v>
      </c>
      <c r="J101" s="4" t="s">
        <v>11</v>
      </c>
      <c r="K101" s="7">
        <v>20</v>
      </c>
      <c r="L101" s="7">
        <v>15</v>
      </c>
      <c r="M101" s="7">
        <v>50</v>
      </c>
      <c r="N101" s="40" t="str">
        <f>IF(tbl_xbox[[#This Row],[Coupon Value]]=$L$3,"No","Yes")</f>
        <v>Yes</v>
      </c>
      <c r="O101" s="40" t="str">
        <f>IF(OR(tbl_xbox[[#This Row],[EA Play Season Pass]]="Yes",tbl_xbox[[#This Row],[Minecraft Season Pass]]="Yes"),"Yes","No")</f>
        <v>Yes</v>
      </c>
      <c r="P101" s="40">
        <f>tbl_xbox[[#This Row],[Subscription Price]]+tbl_xbox[[#This Row],[EA Play Season Pass
Price]]+tbl_xbox[[#This Row],[Minecraft Season Pass Price]]</f>
        <v>65</v>
      </c>
      <c r="Q101" s="41">
        <f>VLOOKUP(tbl_xbox[[#This Row],[Plan]],tbl_apoio5[#All],2,FALSE)</f>
        <v>2</v>
      </c>
      <c r="R101" s="41">
        <f>VLOOKUP(tbl_xbox[[#This Row],[EA Play Season Pass]],tbl_apoio5[[EA Play Season Pass]:[output2]],2,FALSE)</f>
        <v>3</v>
      </c>
      <c r="S101" s="41">
        <f>VLOOKUP(tbl_xbox[[#This Row],[Minecraft Season Pass]],tbl_apoio5[[Minecraft Season Pass]:[Minecraft Season Pass2]],2,FALSE)</f>
        <v>6</v>
      </c>
      <c r="T101" s="41">
        <f>SUM(tbl_xbox[[#This Row],[Plan2]:[Minecraft Season Pass2]])</f>
        <v>11</v>
      </c>
      <c r="U101" s="40" t="str">
        <f>VLOOKUP(tbl_xbox[[#This Row],[soma]],tbl_apoio5[[#All],[soma]:[output2]],2,FALSE)</f>
        <v>EA Play + Minecraft</v>
      </c>
      <c r="V101" s="7"/>
    </row>
    <row r="102" spans="1:22" ht="16.5" customHeight="1" x14ac:dyDescent="0.2">
      <c r="A102" s="4">
        <v>3331</v>
      </c>
      <c r="B102" s="4" t="s">
        <v>121</v>
      </c>
      <c r="C102" s="4" t="s">
        <v>18</v>
      </c>
      <c r="D102" s="6">
        <v>45448</v>
      </c>
      <c r="E102" s="4" t="s">
        <v>11</v>
      </c>
      <c r="F102" s="7">
        <v>10</v>
      </c>
      <c r="G102" s="4" t="s">
        <v>12</v>
      </c>
      <c r="H102" s="4" t="s">
        <v>15</v>
      </c>
      <c r="I102" s="7">
        <v>0</v>
      </c>
      <c r="J102" s="4" t="s">
        <v>11</v>
      </c>
      <c r="K102" s="7">
        <v>20</v>
      </c>
      <c r="L102" s="7">
        <v>5</v>
      </c>
      <c r="M102" s="7">
        <v>25</v>
      </c>
      <c r="N102" s="40" t="str">
        <f>IF(tbl_xbox[[#This Row],[Coupon Value]]=$L$3,"No","Yes")</f>
        <v>Yes</v>
      </c>
      <c r="O102" s="40" t="str">
        <f>IF(OR(tbl_xbox[[#This Row],[EA Play Season Pass]]="Yes",tbl_xbox[[#This Row],[Minecraft Season Pass]]="Yes"),"Yes","No")</f>
        <v>Yes</v>
      </c>
      <c r="P102" s="40">
        <f>tbl_xbox[[#This Row],[Subscription Price]]+tbl_xbox[[#This Row],[EA Play Season Pass
Price]]+tbl_xbox[[#This Row],[Minecraft Season Pass Price]]</f>
        <v>30</v>
      </c>
      <c r="Q102" s="41">
        <f>VLOOKUP(tbl_xbox[[#This Row],[Plan]],tbl_apoio5[#All],2,FALSE)</f>
        <v>1</v>
      </c>
      <c r="R102" s="41">
        <f>VLOOKUP(tbl_xbox[[#This Row],[EA Play Season Pass]],tbl_apoio5[[EA Play Season Pass]:[output2]],2,FALSE)</f>
        <v>0</v>
      </c>
      <c r="S102" s="41">
        <f>VLOOKUP(tbl_xbox[[#This Row],[Minecraft Season Pass]],tbl_apoio5[[Minecraft Season Pass]:[Minecraft Season Pass2]],2,FALSE)</f>
        <v>6</v>
      </c>
      <c r="T102" s="41">
        <f>SUM(tbl_xbox[[#This Row],[Plan2]:[Minecraft Season Pass2]])</f>
        <v>7</v>
      </c>
      <c r="U102" s="40" t="str">
        <f>VLOOKUP(tbl_xbox[[#This Row],[soma]],tbl_apoio5[[#All],[soma]:[output2]],2,FALSE)</f>
        <v>Minecraft</v>
      </c>
      <c r="V102" s="7"/>
    </row>
    <row r="103" spans="1:22" ht="16.5" customHeight="1" x14ac:dyDescent="0.2">
      <c r="A103" s="4">
        <v>3332</v>
      </c>
      <c r="B103" s="4" t="s">
        <v>122</v>
      </c>
      <c r="C103" s="4" t="s">
        <v>14</v>
      </c>
      <c r="D103" s="6">
        <v>45449</v>
      </c>
      <c r="E103" s="4" t="s">
        <v>15</v>
      </c>
      <c r="F103" s="7">
        <v>5</v>
      </c>
      <c r="G103" s="4" t="s">
        <v>16</v>
      </c>
      <c r="H103" s="4" t="s">
        <v>15</v>
      </c>
      <c r="I103" s="7">
        <v>0</v>
      </c>
      <c r="J103" s="4" t="s">
        <v>15</v>
      </c>
      <c r="K103" s="7">
        <v>0</v>
      </c>
      <c r="L103" s="7">
        <v>0</v>
      </c>
      <c r="M103" s="7">
        <v>5</v>
      </c>
      <c r="N103" s="40" t="str">
        <f>IF(tbl_xbox[[#This Row],[Coupon Value]]=$L$3,"No","Yes")</f>
        <v>No</v>
      </c>
      <c r="O103" s="40" t="str">
        <f>IF(OR(tbl_xbox[[#This Row],[EA Play Season Pass]]="Yes",tbl_xbox[[#This Row],[Minecraft Season Pass]]="Yes"),"Yes","No")</f>
        <v>No</v>
      </c>
      <c r="P103" s="40">
        <f>tbl_xbox[[#This Row],[Subscription Price]]+tbl_xbox[[#This Row],[EA Play Season Pass
Price]]+tbl_xbox[[#This Row],[Minecraft Season Pass Price]]</f>
        <v>5</v>
      </c>
      <c r="Q103" s="41">
        <f>VLOOKUP(tbl_xbox[[#This Row],[Plan]],tbl_apoio5[#All],2,FALSE)</f>
        <v>0</v>
      </c>
      <c r="R103" s="41">
        <f>VLOOKUP(tbl_xbox[[#This Row],[EA Play Season Pass]],tbl_apoio5[[EA Play Season Pass]:[output2]],2,FALSE)</f>
        <v>0</v>
      </c>
      <c r="S103" s="41">
        <f>VLOOKUP(tbl_xbox[[#This Row],[Minecraft Season Pass]],tbl_apoio5[[Minecraft Season Pass]:[Minecraft Season Pass2]],2,FALSE)</f>
        <v>0</v>
      </c>
      <c r="T103" s="41">
        <f>SUM(tbl_xbox[[#This Row],[Plan2]:[Minecraft Season Pass2]])</f>
        <v>0</v>
      </c>
      <c r="U103" s="40" t="str">
        <f>VLOOKUP(tbl_xbox[[#This Row],[soma]],tbl_apoio5[[#All],[soma]:[output2]],2,FALSE)</f>
        <v>No Extras</v>
      </c>
      <c r="V103" s="7"/>
    </row>
    <row r="104" spans="1:22" ht="16.5" customHeight="1" x14ac:dyDescent="0.2">
      <c r="A104" s="4">
        <v>3333</v>
      </c>
      <c r="B104" s="4" t="s">
        <v>123</v>
      </c>
      <c r="C104" s="4" t="s">
        <v>10</v>
      </c>
      <c r="D104" s="6">
        <v>45450</v>
      </c>
      <c r="E104" s="4" t="s">
        <v>11</v>
      </c>
      <c r="F104" s="7">
        <v>15</v>
      </c>
      <c r="G104" s="4" t="s">
        <v>19</v>
      </c>
      <c r="H104" s="4" t="s">
        <v>11</v>
      </c>
      <c r="I104" s="7">
        <v>30</v>
      </c>
      <c r="J104" s="4" t="s">
        <v>11</v>
      </c>
      <c r="K104" s="7">
        <v>20</v>
      </c>
      <c r="L104" s="7">
        <v>20</v>
      </c>
      <c r="M104" s="7">
        <v>45</v>
      </c>
      <c r="N104" s="40" t="str">
        <f>IF(tbl_xbox[[#This Row],[Coupon Value]]=$L$3,"No","Yes")</f>
        <v>Yes</v>
      </c>
      <c r="O104" s="40" t="str">
        <f>IF(OR(tbl_xbox[[#This Row],[EA Play Season Pass]]="Yes",tbl_xbox[[#This Row],[Minecraft Season Pass]]="Yes"),"Yes","No")</f>
        <v>Yes</v>
      </c>
      <c r="P104" s="40">
        <f>tbl_xbox[[#This Row],[Subscription Price]]+tbl_xbox[[#This Row],[EA Play Season Pass
Price]]+tbl_xbox[[#This Row],[Minecraft Season Pass Price]]</f>
        <v>65</v>
      </c>
      <c r="Q104" s="41">
        <f>VLOOKUP(tbl_xbox[[#This Row],[Plan]],tbl_apoio5[#All],2,FALSE)</f>
        <v>2</v>
      </c>
      <c r="R104" s="41">
        <f>VLOOKUP(tbl_xbox[[#This Row],[EA Play Season Pass]],tbl_apoio5[[EA Play Season Pass]:[output2]],2,FALSE)</f>
        <v>3</v>
      </c>
      <c r="S104" s="41">
        <f>VLOOKUP(tbl_xbox[[#This Row],[Minecraft Season Pass]],tbl_apoio5[[Minecraft Season Pass]:[Minecraft Season Pass2]],2,FALSE)</f>
        <v>6</v>
      </c>
      <c r="T104" s="41">
        <f>SUM(tbl_xbox[[#This Row],[Plan2]:[Minecraft Season Pass2]])</f>
        <v>11</v>
      </c>
      <c r="U104" s="40" t="str">
        <f>VLOOKUP(tbl_xbox[[#This Row],[soma]],tbl_apoio5[[#All],[soma]:[output2]],2,FALSE)</f>
        <v>EA Play + Minecraft</v>
      </c>
      <c r="V104" s="7"/>
    </row>
    <row r="105" spans="1:22" ht="16.5" customHeight="1" x14ac:dyDescent="0.2">
      <c r="A105" s="4">
        <v>3334</v>
      </c>
      <c r="B105" s="4" t="s">
        <v>124</v>
      </c>
      <c r="C105" s="4" t="s">
        <v>18</v>
      </c>
      <c r="D105" s="6">
        <v>45451</v>
      </c>
      <c r="E105" s="4" t="s">
        <v>15</v>
      </c>
      <c r="F105" s="7">
        <v>10</v>
      </c>
      <c r="G105" s="4" t="s">
        <v>19</v>
      </c>
      <c r="H105" s="4" t="s">
        <v>15</v>
      </c>
      <c r="I105" s="7">
        <v>0</v>
      </c>
      <c r="J105" s="4" t="s">
        <v>11</v>
      </c>
      <c r="K105" s="7">
        <v>20</v>
      </c>
      <c r="L105" s="7">
        <v>12</v>
      </c>
      <c r="M105" s="7">
        <v>18</v>
      </c>
      <c r="N105" s="40" t="str">
        <f>IF(tbl_xbox[[#This Row],[Coupon Value]]=$L$3,"No","Yes")</f>
        <v>Yes</v>
      </c>
      <c r="O105" s="40" t="str">
        <f>IF(OR(tbl_xbox[[#This Row],[EA Play Season Pass]]="Yes",tbl_xbox[[#This Row],[Minecraft Season Pass]]="Yes"),"Yes","No")</f>
        <v>Yes</v>
      </c>
      <c r="P105" s="40">
        <f>tbl_xbox[[#This Row],[Subscription Price]]+tbl_xbox[[#This Row],[EA Play Season Pass
Price]]+tbl_xbox[[#This Row],[Minecraft Season Pass Price]]</f>
        <v>30</v>
      </c>
      <c r="Q105" s="41">
        <f>VLOOKUP(tbl_xbox[[#This Row],[Plan]],tbl_apoio5[#All],2,FALSE)</f>
        <v>1</v>
      </c>
      <c r="R105" s="41">
        <f>VLOOKUP(tbl_xbox[[#This Row],[EA Play Season Pass]],tbl_apoio5[[EA Play Season Pass]:[output2]],2,FALSE)</f>
        <v>0</v>
      </c>
      <c r="S105" s="41">
        <f>VLOOKUP(tbl_xbox[[#This Row],[Minecraft Season Pass]],tbl_apoio5[[Minecraft Season Pass]:[Minecraft Season Pass2]],2,FALSE)</f>
        <v>6</v>
      </c>
      <c r="T105" s="41">
        <f>SUM(tbl_xbox[[#This Row],[Plan2]:[Minecraft Season Pass2]])</f>
        <v>7</v>
      </c>
      <c r="U105" s="40" t="str">
        <f>VLOOKUP(tbl_xbox[[#This Row],[soma]],tbl_apoio5[[#All],[soma]:[output2]],2,FALSE)</f>
        <v>Minecraft</v>
      </c>
      <c r="V105" s="7"/>
    </row>
    <row r="106" spans="1:22" ht="16.5" customHeight="1" x14ac:dyDescent="0.2">
      <c r="A106" s="4">
        <v>3335</v>
      </c>
      <c r="B106" s="4" t="s">
        <v>125</v>
      </c>
      <c r="C106" s="4" t="s">
        <v>14</v>
      </c>
      <c r="D106" s="6">
        <v>45452</v>
      </c>
      <c r="E106" s="4" t="s">
        <v>11</v>
      </c>
      <c r="F106" s="7">
        <v>5</v>
      </c>
      <c r="G106" s="4" t="s">
        <v>12</v>
      </c>
      <c r="H106" s="4" t="s">
        <v>15</v>
      </c>
      <c r="I106" s="7">
        <v>0</v>
      </c>
      <c r="J106" s="4" t="s">
        <v>15</v>
      </c>
      <c r="K106" s="7">
        <v>0</v>
      </c>
      <c r="L106" s="7">
        <v>2</v>
      </c>
      <c r="M106" s="7">
        <v>3</v>
      </c>
      <c r="N106" s="40" t="str">
        <f>IF(tbl_xbox[[#This Row],[Coupon Value]]=$L$3,"No","Yes")</f>
        <v>Yes</v>
      </c>
      <c r="O106" s="40" t="str">
        <f>IF(OR(tbl_xbox[[#This Row],[EA Play Season Pass]]="Yes",tbl_xbox[[#This Row],[Minecraft Season Pass]]="Yes"),"Yes","No")</f>
        <v>No</v>
      </c>
      <c r="P106" s="40">
        <f>tbl_xbox[[#This Row],[Subscription Price]]+tbl_xbox[[#This Row],[EA Play Season Pass
Price]]+tbl_xbox[[#This Row],[Minecraft Season Pass Price]]</f>
        <v>5</v>
      </c>
      <c r="Q106" s="41">
        <f>VLOOKUP(tbl_xbox[[#This Row],[Plan]],tbl_apoio5[#All],2,FALSE)</f>
        <v>0</v>
      </c>
      <c r="R106" s="41">
        <f>VLOOKUP(tbl_xbox[[#This Row],[EA Play Season Pass]],tbl_apoio5[[EA Play Season Pass]:[output2]],2,FALSE)</f>
        <v>0</v>
      </c>
      <c r="S106" s="41">
        <f>VLOOKUP(tbl_xbox[[#This Row],[Minecraft Season Pass]],tbl_apoio5[[Minecraft Season Pass]:[Minecraft Season Pass2]],2,FALSE)</f>
        <v>0</v>
      </c>
      <c r="T106" s="41">
        <f>SUM(tbl_xbox[[#This Row],[Plan2]:[Minecraft Season Pass2]])</f>
        <v>0</v>
      </c>
      <c r="U106" s="40" t="str">
        <f>VLOOKUP(tbl_xbox[[#This Row],[soma]],tbl_apoio5[[#All],[soma]:[output2]],2,FALSE)</f>
        <v>No Extras</v>
      </c>
      <c r="V106" s="7"/>
    </row>
    <row r="107" spans="1:22" ht="16.5" customHeight="1" x14ac:dyDescent="0.2">
      <c r="A107" s="4">
        <v>3336</v>
      </c>
      <c r="B107" s="4" t="s">
        <v>126</v>
      </c>
      <c r="C107" s="4" t="s">
        <v>14</v>
      </c>
      <c r="D107" s="6">
        <v>45453</v>
      </c>
      <c r="E107" s="4" t="s">
        <v>11</v>
      </c>
      <c r="F107" s="7">
        <v>5</v>
      </c>
      <c r="G107" s="4" t="s">
        <v>12</v>
      </c>
      <c r="H107" s="4" t="s">
        <v>15</v>
      </c>
      <c r="I107" s="7">
        <v>0</v>
      </c>
      <c r="J107" s="4" t="s">
        <v>15</v>
      </c>
      <c r="K107" s="7">
        <v>0</v>
      </c>
      <c r="L107" s="7">
        <v>0</v>
      </c>
      <c r="M107" s="7">
        <v>5</v>
      </c>
      <c r="N107" s="40" t="str">
        <f>IF(tbl_xbox[[#This Row],[Coupon Value]]=$L$3,"No","Yes")</f>
        <v>No</v>
      </c>
      <c r="O107" s="40" t="str">
        <f>IF(OR(tbl_xbox[[#This Row],[EA Play Season Pass]]="Yes",tbl_xbox[[#This Row],[Minecraft Season Pass]]="Yes"),"Yes","No")</f>
        <v>No</v>
      </c>
      <c r="P107" s="40">
        <f>tbl_xbox[[#This Row],[Subscription Price]]+tbl_xbox[[#This Row],[EA Play Season Pass
Price]]+tbl_xbox[[#This Row],[Minecraft Season Pass Price]]</f>
        <v>5</v>
      </c>
      <c r="Q107" s="41">
        <f>VLOOKUP(tbl_xbox[[#This Row],[Plan]],tbl_apoio5[#All],2,FALSE)</f>
        <v>0</v>
      </c>
      <c r="R107" s="41">
        <f>VLOOKUP(tbl_xbox[[#This Row],[EA Play Season Pass]],tbl_apoio5[[EA Play Season Pass]:[output2]],2,FALSE)</f>
        <v>0</v>
      </c>
      <c r="S107" s="41">
        <f>VLOOKUP(tbl_xbox[[#This Row],[Minecraft Season Pass]],tbl_apoio5[[Minecraft Season Pass]:[Minecraft Season Pass2]],2,FALSE)</f>
        <v>0</v>
      </c>
      <c r="T107" s="41">
        <f>SUM(tbl_xbox[[#This Row],[Plan2]:[Minecraft Season Pass2]])</f>
        <v>0</v>
      </c>
      <c r="U107" s="40" t="str">
        <f>VLOOKUP(tbl_xbox[[#This Row],[soma]],tbl_apoio5[[#All],[soma]:[output2]],2,FALSE)</f>
        <v>No Extras</v>
      </c>
      <c r="V107" s="7"/>
    </row>
    <row r="108" spans="1:22" ht="16.5" customHeight="1" x14ac:dyDescent="0.2">
      <c r="A108" s="4">
        <v>3337</v>
      </c>
      <c r="B108" s="4" t="s">
        <v>127</v>
      </c>
      <c r="C108" s="4" t="s">
        <v>10</v>
      </c>
      <c r="D108" s="6">
        <v>45454</v>
      </c>
      <c r="E108" s="4" t="s">
        <v>15</v>
      </c>
      <c r="F108" s="7">
        <v>15</v>
      </c>
      <c r="G108" s="4" t="s">
        <v>19</v>
      </c>
      <c r="H108" s="4" t="s">
        <v>11</v>
      </c>
      <c r="I108" s="7">
        <v>30</v>
      </c>
      <c r="J108" s="4" t="s">
        <v>11</v>
      </c>
      <c r="K108" s="7">
        <v>20</v>
      </c>
      <c r="L108" s="7">
        <v>7</v>
      </c>
      <c r="M108" s="7">
        <v>58</v>
      </c>
      <c r="N108" s="40" t="str">
        <f>IF(tbl_xbox[[#This Row],[Coupon Value]]=$L$3,"No","Yes")</f>
        <v>Yes</v>
      </c>
      <c r="O108" s="40" t="str">
        <f>IF(OR(tbl_xbox[[#This Row],[EA Play Season Pass]]="Yes",tbl_xbox[[#This Row],[Minecraft Season Pass]]="Yes"),"Yes","No")</f>
        <v>Yes</v>
      </c>
      <c r="P108" s="40">
        <f>tbl_xbox[[#This Row],[Subscription Price]]+tbl_xbox[[#This Row],[EA Play Season Pass
Price]]+tbl_xbox[[#This Row],[Minecraft Season Pass Price]]</f>
        <v>65</v>
      </c>
      <c r="Q108" s="41">
        <f>VLOOKUP(tbl_xbox[[#This Row],[Plan]],tbl_apoio5[#All],2,FALSE)</f>
        <v>2</v>
      </c>
      <c r="R108" s="41">
        <f>VLOOKUP(tbl_xbox[[#This Row],[EA Play Season Pass]],tbl_apoio5[[EA Play Season Pass]:[output2]],2,FALSE)</f>
        <v>3</v>
      </c>
      <c r="S108" s="41">
        <f>VLOOKUP(tbl_xbox[[#This Row],[Minecraft Season Pass]],tbl_apoio5[[Minecraft Season Pass]:[Minecraft Season Pass2]],2,FALSE)</f>
        <v>6</v>
      </c>
      <c r="T108" s="41">
        <f>SUM(tbl_xbox[[#This Row],[Plan2]:[Minecraft Season Pass2]])</f>
        <v>11</v>
      </c>
      <c r="U108" s="40" t="str">
        <f>VLOOKUP(tbl_xbox[[#This Row],[soma]],tbl_apoio5[[#All],[soma]:[output2]],2,FALSE)</f>
        <v>EA Play + Minecraft</v>
      </c>
      <c r="V108" s="7"/>
    </row>
    <row r="109" spans="1:22" ht="16.5" customHeight="1" x14ac:dyDescent="0.2">
      <c r="A109" s="4">
        <v>3338</v>
      </c>
      <c r="B109" s="4" t="s">
        <v>128</v>
      </c>
      <c r="C109" s="4" t="s">
        <v>18</v>
      </c>
      <c r="D109" s="6">
        <v>45455</v>
      </c>
      <c r="E109" s="4" t="s">
        <v>11</v>
      </c>
      <c r="F109" s="7">
        <v>10</v>
      </c>
      <c r="G109" s="4" t="s">
        <v>16</v>
      </c>
      <c r="H109" s="4" t="s">
        <v>15</v>
      </c>
      <c r="I109" s="7">
        <v>0</v>
      </c>
      <c r="J109" s="4" t="s">
        <v>11</v>
      </c>
      <c r="K109" s="7">
        <v>20</v>
      </c>
      <c r="L109" s="7">
        <v>10</v>
      </c>
      <c r="M109" s="7">
        <v>20</v>
      </c>
      <c r="N109" s="40" t="str">
        <f>IF(tbl_xbox[[#This Row],[Coupon Value]]=$L$3,"No","Yes")</f>
        <v>Yes</v>
      </c>
      <c r="O109" s="40" t="str">
        <f>IF(OR(tbl_xbox[[#This Row],[EA Play Season Pass]]="Yes",tbl_xbox[[#This Row],[Minecraft Season Pass]]="Yes"),"Yes","No")</f>
        <v>Yes</v>
      </c>
      <c r="P109" s="40">
        <f>tbl_xbox[[#This Row],[Subscription Price]]+tbl_xbox[[#This Row],[EA Play Season Pass
Price]]+tbl_xbox[[#This Row],[Minecraft Season Pass Price]]</f>
        <v>30</v>
      </c>
      <c r="Q109" s="41">
        <f>VLOOKUP(tbl_xbox[[#This Row],[Plan]],tbl_apoio5[#All],2,FALSE)</f>
        <v>1</v>
      </c>
      <c r="R109" s="41">
        <f>VLOOKUP(tbl_xbox[[#This Row],[EA Play Season Pass]],tbl_apoio5[[EA Play Season Pass]:[output2]],2,FALSE)</f>
        <v>0</v>
      </c>
      <c r="S109" s="41">
        <f>VLOOKUP(tbl_xbox[[#This Row],[Minecraft Season Pass]],tbl_apoio5[[Minecraft Season Pass]:[Minecraft Season Pass2]],2,FALSE)</f>
        <v>6</v>
      </c>
      <c r="T109" s="41">
        <f>SUM(tbl_xbox[[#This Row],[Plan2]:[Minecraft Season Pass2]])</f>
        <v>7</v>
      </c>
      <c r="U109" s="40" t="str">
        <f>VLOOKUP(tbl_xbox[[#This Row],[soma]],tbl_apoio5[[#All],[soma]:[output2]],2,FALSE)</f>
        <v>Minecraft</v>
      </c>
      <c r="V109" s="7"/>
    </row>
    <row r="110" spans="1:22" ht="16.5" customHeight="1" x14ac:dyDescent="0.2">
      <c r="A110" s="4">
        <v>3339</v>
      </c>
      <c r="B110" s="4" t="s">
        <v>129</v>
      </c>
      <c r="C110" s="4" t="s">
        <v>14</v>
      </c>
      <c r="D110" s="6">
        <v>45456</v>
      </c>
      <c r="E110" s="4" t="s">
        <v>15</v>
      </c>
      <c r="F110" s="7">
        <v>5</v>
      </c>
      <c r="G110" s="4" t="s">
        <v>19</v>
      </c>
      <c r="H110" s="4" t="s">
        <v>15</v>
      </c>
      <c r="I110" s="7">
        <v>0</v>
      </c>
      <c r="J110" s="4" t="s">
        <v>15</v>
      </c>
      <c r="K110" s="7">
        <v>0</v>
      </c>
      <c r="L110" s="7">
        <v>1</v>
      </c>
      <c r="M110" s="7">
        <v>4</v>
      </c>
      <c r="N110" s="40" t="str">
        <f>IF(tbl_xbox[[#This Row],[Coupon Value]]=$L$3,"No","Yes")</f>
        <v>Yes</v>
      </c>
      <c r="O110" s="40" t="str">
        <f>IF(OR(tbl_xbox[[#This Row],[EA Play Season Pass]]="Yes",tbl_xbox[[#This Row],[Minecraft Season Pass]]="Yes"),"Yes","No")</f>
        <v>No</v>
      </c>
      <c r="P110" s="40">
        <f>tbl_xbox[[#This Row],[Subscription Price]]+tbl_xbox[[#This Row],[EA Play Season Pass
Price]]+tbl_xbox[[#This Row],[Minecraft Season Pass Price]]</f>
        <v>5</v>
      </c>
      <c r="Q110" s="41">
        <f>VLOOKUP(tbl_xbox[[#This Row],[Plan]],tbl_apoio5[#All],2,FALSE)</f>
        <v>0</v>
      </c>
      <c r="R110" s="41">
        <f>VLOOKUP(tbl_xbox[[#This Row],[EA Play Season Pass]],tbl_apoio5[[EA Play Season Pass]:[output2]],2,FALSE)</f>
        <v>0</v>
      </c>
      <c r="S110" s="41">
        <f>VLOOKUP(tbl_xbox[[#This Row],[Minecraft Season Pass]],tbl_apoio5[[Minecraft Season Pass]:[Minecraft Season Pass2]],2,FALSE)</f>
        <v>0</v>
      </c>
      <c r="T110" s="41">
        <f>SUM(tbl_xbox[[#This Row],[Plan2]:[Minecraft Season Pass2]])</f>
        <v>0</v>
      </c>
      <c r="U110" s="40" t="str">
        <f>VLOOKUP(tbl_xbox[[#This Row],[soma]],tbl_apoio5[[#All],[soma]:[output2]],2,FALSE)</f>
        <v>No Extras</v>
      </c>
      <c r="V110" s="7"/>
    </row>
    <row r="111" spans="1:22" ht="16.5" customHeight="1" x14ac:dyDescent="0.2">
      <c r="A111" s="4">
        <v>3340</v>
      </c>
      <c r="B111" s="4" t="s">
        <v>130</v>
      </c>
      <c r="C111" s="4" t="s">
        <v>10</v>
      </c>
      <c r="D111" s="6">
        <v>45457</v>
      </c>
      <c r="E111" s="4" t="s">
        <v>11</v>
      </c>
      <c r="F111" s="7">
        <v>15</v>
      </c>
      <c r="G111" s="4" t="s">
        <v>12</v>
      </c>
      <c r="H111" s="4" t="s">
        <v>11</v>
      </c>
      <c r="I111" s="7">
        <v>30</v>
      </c>
      <c r="J111" s="4" t="s">
        <v>11</v>
      </c>
      <c r="K111" s="7">
        <v>20</v>
      </c>
      <c r="L111" s="7">
        <v>15</v>
      </c>
      <c r="M111" s="7">
        <v>50</v>
      </c>
      <c r="N111" s="40" t="str">
        <f>IF(tbl_xbox[[#This Row],[Coupon Value]]=$L$3,"No","Yes")</f>
        <v>Yes</v>
      </c>
      <c r="O111" s="40" t="str">
        <f>IF(OR(tbl_xbox[[#This Row],[EA Play Season Pass]]="Yes",tbl_xbox[[#This Row],[Minecraft Season Pass]]="Yes"),"Yes","No")</f>
        <v>Yes</v>
      </c>
      <c r="P111" s="40">
        <f>tbl_xbox[[#This Row],[Subscription Price]]+tbl_xbox[[#This Row],[EA Play Season Pass
Price]]+tbl_xbox[[#This Row],[Minecraft Season Pass Price]]</f>
        <v>65</v>
      </c>
      <c r="Q111" s="41">
        <f>VLOOKUP(tbl_xbox[[#This Row],[Plan]],tbl_apoio5[#All],2,FALSE)</f>
        <v>2</v>
      </c>
      <c r="R111" s="41">
        <f>VLOOKUP(tbl_xbox[[#This Row],[EA Play Season Pass]],tbl_apoio5[[EA Play Season Pass]:[output2]],2,FALSE)</f>
        <v>3</v>
      </c>
      <c r="S111" s="41">
        <f>VLOOKUP(tbl_xbox[[#This Row],[Minecraft Season Pass]],tbl_apoio5[[Minecraft Season Pass]:[Minecraft Season Pass2]],2,FALSE)</f>
        <v>6</v>
      </c>
      <c r="T111" s="41">
        <f>SUM(tbl_xbox[[#This Row],[Plan2]:[Minecraft Season Pass2]])</f>
        <v>11</v>
      </c>
      <c r="U111" s="40" t="str">
        <f>VLOOKUP(tbl_xbox[[#This Row],[soma]],tbl_apoio5[[#All],[soma]:[output2]],2,FALSE)</f>
        <v>EA Play + Minecraft</v>
      </c>
      <c r="V111" s="7"/>
    </row>
    <row r="112" spans="1:22" ht="16.5" customHeight="1" x14ac:dyDescent="0.2">
      <c r="A112" s="4">
        <v>3341</v>
      </c>
      <c r="B112" s="4" t="s">
        <v>131</v>
      </c>
      <c r="C112" s="4" t="s">
        <v>18</v>
      </c>
      <c r="D112" s="6">
        <v>45458</v>
      </c>
      <c r="E112" s="4" t="s">
        <v>15</v>
      </c>
      <c r="F112" s="7">
        <v>10</v>
      </c>
      <c r="G112" s="4" t="s">
        <v>12</v>
      </c>
      <c r="H112" s="4" t="s">
        <v>15</v>
      </c>
      <c r="I112" s="7">
        <v>0</v>
      </c>
      <c r="J112" s="4" t="s">
        <v>11</v>
      </c>
      <c r="K112" s="7">
        <v>20</v>
      </c>
      <c r="L112" s="7">
        <v>5</v>
      </c>
      <c r="M112" s="7">
        <v>25</v>
      </c>
      <c r="N112" s="40" t="str">
        <f>IF(tbl_xbox[[#This Row],[Coupon Value]]=$L$3,"No","Yes")</f>
        <v>Yes</v>
      </c>
      <c r="O112" s="40" t="str">
        <f>IF(OR(tbl_xbox[[#This Row],[EA Play Season Pass]]="Yes",tbl_xbox[[#This Row],[Minecraft Season Pass]]="Yes"),"Yes","No")</f>
        <v>Yes</v>
      </c>
      <c r="P112" s="40">
        <f>tbl_xbox[[#This Row],[Subscription Price]]+tbl_xbox[[#This Row],[EA Play Season Pass
Price]]+tbl_xbox[[#This Row],[Minecraft Season Pass Price]]</f>
        <v>30</v>
      </c>
      <c r="Q112" s="41">
        <f>VLOOKUP(tbl_xbox[[#This Row],[Plan]],tbl_apoio5[#All],2,FALSE)</f>
        <v>1</v>
      </c>
      <c r="R112" s="41">
        <f>VLOOKUP(tbl_xbox[[#This Row],[EA Play Season Pass]],tbl_apoio5[[EA Play Season Pass]:[output2]],2,FALSE)</f>
        <v>0</v>
      </c>
      <c r="S112" s="41">
        <f>VLOOKUP(tbl_xbox[[#This Row],[Minecraft Season Pass]],tbl_apoio5[[Minecraft Season Pass]:[Minecraft Season Pass2]],2,FALSE)</f>
        <v>6</v>
      </c>
      <c r="T112" s="41">
        <f>SUM(tbl_xbox[[#This Row],[Plan2]:[Minecraft Season Pass2]])</f>
        <v>7</v>
      </c>
      <c r="U112" s="40" t="str">
        <f>VLOOKUP(tbl_xbox[[#This Row],[soma]],tbl_apoio5[[#All],[soma]:[output2]],2,FALSE)</f>
        <v>Minecraft</v>
      </c>
      <c r="V112" s="7"/>
    </row>
    <row r="113" spans="1:22" ht="16.5" customHeight="1" x14ac:dyDescent="0.2">
      <c r="A113" s="4">
        <v>3342</v>
      </c>
      <c r="B113" s="4" t="s">
        <v>132</v>
      </c>
      <c r="C113" s="4" t="s">
        <v>14</v>
      </c>
      <c r="D113" s="6">
        <v>45459</v>
      </c>
      <c r="E113" s="4" t="s">
        <v>11</v>
      </c>
      <c r="F113" s="7">
        <v>5</v>
      </c>
      <c r="G113" s="4" t="s">
        <v>16</v>
      </c>
      <c r="H113" s="4" t="s">
        <v>15</v>
      </c>
      <c r="I113" s="7">
        <v>0</v>
      </c>
      <c r="J113" s="4" t="s">
        <v>15</v>
      </c>
      <c r="K113" s="7">
        <v>0</v>
      </c>
      <c r="L113" s="7">
        <v>0</v>
      </c>
      <c r="M113" s="7">
        <v>5</v>
      </c>
      <c r="N113" s="40" t="str">
        <f>IF(tbl_xbox[[#This Row],[Coupon Value]]=$L$3,"No","Yes")</f>
        <v>No</v>
      </c>
      <c r="O113" s="40" t="str">
        <f>IF(OR(tbl_xbox[[#This Row],[EA Play Season Pass]]="Yes",tbl_xbox[[#This Row],[Minecraft Season Pass]]="Yes"),"Yes","No")</f>
        <v>No</v>
      </c>
      <c r="P113" s="40">
        <f>tbl_xbox[[#This Row],[Subscription Price]]+tbl_xbox[[#This Row],[EA Play Season Pass
Price]]+tbl_xbox[[#This Row],[Minecraft Season Pass Price]]</f>
        <v>5</v>
      </c>
      <c r="Q113" s="41">
        <f>VLOOKUP(tbl_xbox[[#This Row],[Plan]],tbl_apoio5[#All],2,FALSE)</f>
        <v>0</v>
      </c>
      <c r="R113" s="41">
        <f>VLOOKUP(tbl_xbox[[#This Row],[EA Play Season Pass]],tbl_apoio5[[EA Play Season Pass]:[output2]],2,FALSE)</f>
        <v>0</v>
      </c>
      <c r="S113" s="41">
        <f>VLOOKUP(tbl_xbox[[#This Row],[Minecraft Season Pass]],tbl_apoio5[[Minecraft Season Pass]:[Minecraft Season Pass2]],2,FALSE)</f>
        <v>0</v>
      </c>
      <c r="T113" s="41">
        <f>SUM(tbl_xbox[[#This Row],[Plan2]:[Minecraft Season Pass2]])</f>
        <v>0</v>
      </c>
      <c r="U113" s="40" t="str">
        <f>VLOOKUP(tbl_xbox[[#This Row],[soma]],tbl_apoio5[[#All],[soma]:[output2]],2,FALSE)</f>
        <v>No Extras</v>
      </c>
      <c r="V113" s="7"/>
    </row>
    <row r="114" spans="1:22" ht="16.5" customHeight="1" x14ac:dyDescent="0.2">
      <c r="A114" s="4">
        <v>3343</v>
      </c>
      <c r="B114" s="4" t="s">
        <v>133</v>
      </c>
      <c r="C114" s="4" t="s">
        <v>10</v>
      </c>
      <c r="D114" s="6">
        <v>45460</v>
      </c>
      <c r="E114" s="4" t="s">
        <v>15</v>
      </c>
      <c r="F114" s="7">
        <v>15</v>
      </c>
      <c r="G114" s="4" t="s">
        <v>19</v>
      </c>
      <c r="H114" s="4" t="s">
        <v>11</v>
      </c>
      <c r="I114" s="7">
        <v>30</v>
      </c>
      <c r="J114" s="4" t="s">
        <v>11</v>
      </c>
      <c r="K114" s="7">
        <v>20</v>
      </c>
      <c r="L114" s="7">
        <v>20</v>
      </c>
      <c r="M114" s="7">
        <v>45</v>
      </c>
      <c r="N114" s="40" t="str">
        <f>IF(tbl_xbox[[#This Row],[Coupon Value]]=$L$3,"No","Yes")</f>
        <v>Yes</v>
      </c>
      <c r="O114" s="40" t="str">
        <f>IF(OR(tbl_xbox[[#This Row],[EA Play Season Pass]]="Yes",tbl_xbox[[#This Row],[Minecraft Season Pass]]="Yes"),"Yes","No")</f>
        <v>Yes</v>
      </c>
      <c r="P114" s="40">
        <f>tbl_xbox[[#This Row],[Subscription Price]]+tbl_xbox[[#This Row],[EA Play Season Pass
Price]]+tbl_xbox[[#This Row],[Minecraft Season Pass Price]]</f>
        <v>65</v>
      </c>
      <c r="Q114" s="41">
        <f>VLOOKUP(tbl_xbox[[#This Row],[Plan]],tbl_apoio5[#All],2,FALSE)</f>
        <v>2</v>
      </c>
      <c r="R114" s="41">
        <f>VLOOKUP(tbl_xbox[[#This Row],[EA Play Season Pass]],tbl_apoio5[[EA Play Season Pass]:[output2]],2,FALSE)</f>
        <v>3</v>
      </c>
      <c r="S114" s="41">
        <f>VLOOKUP(tbl_xbox[[#This Row],[Minecraft Season Pass]],tbl_apoio5[[Minecraft Season Pass]:[Minecraft Season Pass2]],2,FALSE)</f>
        <v>6</v>
      </c>
      <c r="T114" s="41">
        <f>SUM(tbl_xbox[[#This Row],[Plan2]:[Minecraft Season Pass2]])</f>
        <v>11</v>
      </c>
      <c r="U114" s="40" t="str">
        <f>VLOOKUP(tbl_xbox[[#This Row],[soma]],tbl_apoio5[[#All],[soma]:[output2]],2,FALSE)</f>
        <v>EA Play + Minecraft</v>
      </c>
      <c r="V114" s="7"/>
    </row>
    <row r="115" spans="1:22" ht="16.5" customHeight="1" x14ac:dyDescent="0.2">
      <c r="A115" s="4">
        <v>3344</v>
      </c>
      <c r="B115" s="4" t="s">
        <v>134</v>
      </c>
      <c r="C115" s="4" t="s">
        <v>18</v>
      </c>
      <c r="D115" s="6">
        <v>45461</v>
      </c>
      <c r="E115" s="4" t="s">
        <v>11</v>
      </c>
      <c r="F115" s="7">
        <v>10</v>
      </c>
      <c r="G115" s="4" t="s">
        <v>19</v>
      </c>
      <c r="H115" s="4" t="s">
        <v>15</v>
      </c>
      <c r="I115" s="7">
        <v>0</v>
      </c>
      <c r="J115" s="4" t="s">
        <v>11</v>
      </c>
      <c r="K115" s="7">
        <v>20</v>
      </c>
      <c r="L115" s="7">
        <v>12</v>
      </c>
      <c r="M115" s="7">
        <v>18</v>
      </c>
      <c r="N115" s="40" t="str">
        <f>IF(tbl_xbox[[#This Row],[Coupon Value]]=$L$3,"No","Yes")</f>
        <v>Yes</v>
      </c>
      <c r="O115" s="40" t="str">
        <f>IF(OR(tbl_xbox[[#This Row],[EA Play Season Pass]]="Yes",tbl_xbox[[#This Row],[Minecraft Season Pass]]="Yes"),"Yes","No")</f>
        <v>Yes</v>
      </c>
      <c r="P115" s="40">
        <f>tbl_xbox[[#This Row],[Subscription Price]]+tbl_xbox[[#This Row],[EA Play Season Pass
Price]]+tbl_xbox[[#This Row],[Minecraft Season Pass Price]]</f>
        <v>30</v>
      </c>
      <c r="Q115" s="41">
        <f>VLOOKUP(tbl_xbox[[#This Row],[Plan]],tbl_apoio5[#All],2,FALSE)</f>
        <v>1</v>
      </c>
      <c r="R115" s="41">
        <f>VLOOKUP(tbl_xbox[[#This Row],[EA Play Season Pass]],tbl_apoio5[[EA Play Season Pass]:[output2]],2,FALSE)</f>
        <v>0</v>
      </c>
      <c r="S115" s="41">
        <f>VLOOKUP(tbl_xbox[[#This Row],[Minecraft Season Pass]],tbl_apoio5[[Minecraft Season Pass]:[Minecraft Season Pass2]],2,FALSE)</f>
        <v>6</v>
      </c>
      <c r="T115" s="41">
        <f>SUM(tbl_xbox[[#This Row],[Plan2]:[Minecraft Season Pass2]])</f>
        <v>7</v>
      </c>
      <c r="U115" s="40" t="str">
        <f>VLOOKUP(tbl_xbox[[#This Row],[soma]],tbl_apoio5[[#All],[soma]:[output2]],2,FALSE)</f>
        <v>Minecraft</v>
      </c>
      <c r="V115" s="7"/>
    </row>
    <row r="116" spans="1:22" ht="16.5" customHeight="1" x14ac:dyDescent="0.2">
      <c r="A116" s="4">
        <v>3345</v>
      </c>
      <c r="B116" s="4" t="s">
        <v>135</v>
      </c>
      <c r="C116" s="4" t="s">
        <v>14</v>
      </c>
      <c r="D116" s="6">
        <v>45462</v>
      </c>
      <c r="E116" s="4" t="s">
        <v>15</v>
      </c>
      <c r="F116" s="7">
        <v>5</v>
      </c>
      <c r="G116" s="4" t="s">
        <v>12</v>
      </c>
      <c r="H116" s="4" t="s">
        <v>15</v>
      </c>
      <c r="I116" s="7">
        <v>0</v>
      </c>
      <c r="J116" s="4" t="s">
        <v>15</v>
      </c>
      <c r="K116" s="7">
        <v>0</v>
      </c>
      <c r="L116" s="7">
        <v>2</v>
      </c>
      <c r="M116" s="7">
        <v>3</v>
      </c>
      <c r="N116" s="40" t="str">
        <f>IF(tbl_xbox[[#This Row],[Coupon Value]]=$L$3,"No","Yes")</f>
        <v>Yes</v>
      </c>
      <c r="O116" s="40" t="str">
        <f>IF(OR(tbl_xbox[[#This Row],[EA Play Season Pass]]="Yes",tbl_xbox[[#This Row],[Minecraft Season Pass]]="Yes"),"Yes","No")</f>
        <v>No</v>
      </c>
      <c r="P116" s="40">
        <f>tbl_xbox[[#This Row],[Subscription Price]]+tbl_xbox[[#This Row],[EA Play Season Pass
Price]]+tbl_xbox[[#This Row],[Minecraft Season Pass Price]]</f>
        <v>5</v>
      </c>
      <c r="Q116" s="41">
        <f>VLOOKUP(tbl_xbox[[#This Row],[Plan]],tbl_apoio5[#All],2,FALSE)</f>
        <v>0</v>
      </c>
      <c r="R116" s="41">
        <f>VLOOKUP(tbl_xbox[[#This Row],[EA Play Season Pass]],tbl_apoio5[[EA Play Season Pass]:[output2]],2,FALSE)</f>
        <v>0</v>
      </c>
      <c r="S116" s="41">
        <f>VLOOKUP(tbl_xbox[[#This Row],[Minecraft Season Pass]],tbl_apoio5[[Minecraft Season Pass]:[Minecraft Season Pass2]],2,FALSE)</f>
        <v>0</v>
      </c>
      <c r="T116" s="41">
        <f>SUM(tbl_xbox[[#This Row],[Plan2]:[Minecraft Season Pass2]])</f>
        <v>0</v>
      </c>
      <c r="U116" s="40" t="str">
        <f>VLOOKUP(tbl_xbox[[#This Row],[soma]],tbl_apoio5[[#All],[soma]:[output2]],2,FALSE)</f>
        <v>No Extras</v>
      </c>
      <c r="V116" s="7"/>
    </row>
    <row r="117" spans="1:22" ht="16.5" customHeight="1" x14ac:dyDescent="0.2">
      <c r="A117" s="4">
        <v>3346</v>
      </c>
      <c r="B117" s="4" t="s">
        <v>136</v>
      </c>
      <c r="C117" s="4" t="s">
        <v>10</v>
      </c>
      <c r="D117" s="6">
        <v>45463</v>
      </c>
      <c r="E117" s="4" t="s">
        <v>11</v>
      </c>
      <c r="F117" s="7">
        <v>15</v>
      </c>
      <c r="G117" s="4" t="s">
        <v>16</v>
      </c>
      <c r="H117" s="4" t="s">
        <v>11</v>
      </c>
      <c r="I117" s="7">
        <v>30</v>
      </c>
      <c r="J117" s="4" t="s">
        <v>11</v>
      </c>
      <c r="K117" s="7">
        <v>20</v>
      </c>
      <c r="L117" s="7">
        <v>5</v>
      </c>
      <c r="M117" s="7">
        <v>60</v>
      </c>
      <c r="N117" s="40" t="str">
        <f>IF(tbl_xbox[[#This Row],[Coupon Value]]=$L$3,"No","Yes")</f>
        <v>Yes</v>
      </c>
      <c r="O117" s="40" t="str">
        <f>IF(OR(tbl_xbox[[#This Row],[EA Play Season Pass]]="Yes",tbl_xbox[[#This Row],[Minecraft Season Pass]]="Yes"),"Yes","No")</f>
        <v>Yes</v>
      </c>
      <c r="P117" s="40">
        <f>tbl_xbox[[#This Row],[Subscription Price]]+tbl_xbox[[#This Row],[EA Play Season Pass
Price]]+tbl_xbox[[#This Row],[Minecraft Season Pass Price]]</f>
        <v>65</v>
      </c>
      <c r="Q117" s="41">
        <f>VLOOKUP(tbl_xbox[[#This Row],[Plan]],tbl_apoio5[#All],2,FALSE)</f>
        <v>2</v>
      </c>
      <c r="R117" s="41">
        <f>VLOOKUP(tbl_xbox[[#This Row],[EA Play Season Pass]],tbl_apoio5[[EA Play Season Pass]:[output2]],2,FALSE)</f>
        <v>3</v>
      </c>
      <c r="S117" s="41">
        <f>VLOOKUP(tbl_xbox[[#This Row],[Minecraft Season Pass]],tbl_apoio5[[Minecraft Season Pass]:[Minecraft Season Pass2]],2,FALSE)</f>
        <v>6</v>
      </c>
      <c r="T117" s="41">
        <f>SUM(tbl_xbox[[#This Row],[Plan2]:[Minecraft Season Pass2]])</f>
        <v>11</v>
      </c>
      <c r="U117" s="40" t="str">
        <f>VLOOKUP(tbl_xbox[[#This Row],[soma]],tbl_apoio5[[#All],[soma]:[output2]],2,FALSE)</f>
        <v>EA Play + Minecraft</v>
      </c>
      <c r="V117" s="7"/>
    </row>
    <row r="118" spans="1:22" ht="16.5" customHeight="1" x14ac:dyDescent="0.2">
      <c r="A118" s="4">
        <v>3347</v>
      </c>
      <c r="B118" s="4" t="s">
        <v>137</v>
      </c>
      <c r="C118" s="4" t="s">
        <v>18</v>
      </c>
      <c r="D118" s="6">
        <v>45464</v>
      </c>
      <c r="E118" s="4" t="s">
        <v>15</v>
      </c>
      <c r="F118" s="7">
        <v>10</v>
      </c>
      <c r="G118" s="4" t="s">
        <v>12</v>
      </c>
      <c r="H118" s="4" t="s">
        <v>15</v>
      </c>
      <c r="I118" s="7">
        <v>0</v>
      </c>
      <c r="J118" s="4" t="s">
        <v>11</v>
      </c>
      <c r="K118" s="7">
        <v>20</v>
      </c>
      <c r="L118" s="7">
        <v>10</v>
      </c>
      <c r="M118" s="7">
        <v>20</v>
      </c>
      <c r="N118" s="40" t="str">
        <f>IF(tbl_xbox[[#This Row],[Coupon Value]]=$L$3,"No","Yes")</f>
        <v>Yes</v>
      </c>
      <c r="O118" s="40" t="str">
        <f>IF(OR(tbl_xbox[[#This Row],[EA Play Season Pass]]="Yes",tbl_xbox[[#This Row],[Minecraft Season Pass]]="Yes"),"Yes","No")</f>
        <v>Yes</v>
      </c>
      <c r="P118" s="40">
        <f>tbl_xbox[[#This Row],[Subscription Price]]+tbl_xbox[[#This Row],[EA Play Season Pass
Price]]+tbl_xbox[[#This Row],[Minecraft Season Pass Price]]</f>
        <v>30</v>
      </c>
      <c r="Q118" s="41">
        <f>VLOOKUP(tbl_xbox[[#This Row],[Plan]],tbl_apoio5[#All],2,FALSE)</f>
        <v>1</v>
      </c>
      <c r="R118" s="41">
        <f>VLOOKUP(tbl_xbox[[#This Row],[EA Play Season Pass]],tbl_apoio5[[EA Play Season Pass]:[output2]],2,FALSE)</f>
        <v>0</v>
      </c>
      <c r="S118" s="41">
        <f>VLOOKUP(tbl_xbox[[#This Row],[Minecraft Season Pass]],tbl_apoio5[[Minecraft Season Pass]:[Minecraft Season Pass2]],2,FALSE)</f>
        <v>6</v>
      </c>
      <c r="T118" s="41">
        <f>SUM(tbl_xbox[[#This Row],[Plan2]:[Minecraft Season Pass2]])</f>
        <v>7</v>
      </c>
      <c r="U118" s="40" t="str">
        <f>VLOOKUP(tbl_xbox[[#This Row],[soma]],tbl_apoio5[[#All],[soma]:[output2]],2,FALSE)</f>
        <v>Minecraft</v>
      </c>
      <c r="V118" s="7"/>
    </row>
    <row r="119" spans="1:22" ht="16.5" customHeight="1" x14ac:dyDescent="0.2">
      <c r="A119" s="4">
        <v>3348</v>
      </c>
      <c r="B119" s="4" t="s">
        <v>138</v>
      </c>
      <c r="C119" s="4" t="s">
        <v>14</v>
      </c>
      <c r="D119" s="6">
        <v>45465</v>
      </c>
      <c r="E119" s="4" t="s">
        <v>11</v>
      </c>
      <c r="F119" s="7">
        <v>5</v>
      </c>
      <c r="G119" s="4" t="s">
        <v>19</v>
      </c>
      <c r="H119" s="4" t="s">
        <v>15</v>
      </c>
      <c r="I119" s="7">
        <v>0</v>
      </c>
      <c r="J119" s="4" t="s">
        <v>15</v>
      </c>
      <c r="K119" s="7">
        <v>0</v>
      </c>
      <c r="L119" s="7">
        <v>0</v>
      </c>
      <c r="M119" s="7">
        <v>5</v>
      </c>
      <c r="N119" s="40" t="str">
        <f>IF(tbl_xbox[[#This Row],[Coupon Value]]=$L$3,"No","Yes")</f>
        <v>No</v>
      </c>
      <c r="O119" s="40" t="str">
        <f>IF(OR(tbl_xbox[[#This Row],[EA Play Season Pass]]="Yes",tbl_xbox[[#This Row],[Minecraft Season Pass]]="Yes"),"Yes","No")</f>
        <v>No</v>
      </c>
      <c r="P119" s="40">
        <f>tbl_xbox[[#This Row],[Subscription Price]]+tbl_xbox[[#This Row],[EA Play Season Pass
Price]]+tbl_xbox[[#This Row],[Minecraft Season Pass Price]]</f>
        <v>5</v>
      </c>
      <c r="Q119" s="41">
        <f>VLOOKUP(tbl_xbox[[#This Row],[Plan]],tbl_apoio5[#All],2,FALSE)</f>
        <v>0</v>
      </c>
      <c r="R119" s="41">
        <f>VLOOKUP(tbl_xbox[[#This Row],[EA Play Season Pass]],tbl_apoio5[[EA Play Season Pass]:[output2]],2,FALSE)</f>
        <v>0</v>
      </c>
      <c r="S119" s="41">
        <f>VLOOKUP(tbl_xbox[[#This Row],[Minecraft Season Pass]],tbl_apoio5[[Minecraft Season Pass]:[Minecraft Season Pass2]],2,FALSE)</f>
        <v>0</v>
      </c>
      <c r="T119" s="41">
        <f>SUM(tbl_xbox[[#This Row],[Plan2]:[Minecraft Season Pass2]])</f>
        <v>0</v>
      </c>
      <c r="U119" s="40" t="str">
        <f>VLOOKUP(tbl_xbox[[#This Row],[soma]],tbl_apoio5[[#All],[soma]:[output2]],2,FALSE)</f>
        <v>No Extras</v>
      </c>
      <c r="V119" s="7"/>
    </row>
    <row r="120" spans="1:22" ht="16.5" customHeight="1" x14ac:dyDescent="0.2">
      <c r="A120" s="4">
        <v>3349</v>
      </c>
      <c r="B120" s="4" t="s">
        <v>114</v>
      </c>
      <c r="C120" s="4" t="s">
        <v>10</v>
      </c>
      <c r="D120" s="6">
        <v>45466</v>
      </c>
      <c r="E120" s="4" t="s">
        <v>15</v>
      </c>
      <c r="F120" s="7">
        <v>15</v>
      </c>
      <c r="G120" s="4" t="s">
        <v>12</v>
      </c>
      <c r="H120" s="4" t="s">
        <v>11</v>
      </c>
      <c r="I120" s="7">
        <v>30</v>
      </c>
      <c r="J120" s="4" t="s">
        <v>11</v>
      </c>
      <c r="K120" s="7">
        <v>20</v>
      </c>
      <c r="L120" s="7">
        <v>3</v>
      </c>
      <c r="M120" s="7">
        <v>62</v>
      </c>
      <c r="N120" s="40" t="str">
        <f>IF(tbl_xbox[[#This Row],[Coupon Value]]=$L$3,"No","Yes")</f>
        <v>Yes</v>
      </c>
      <c r="O120" s="40" t="str">
        <f>IF(OR(tbl_xbox[[#This Row],[EA Play Season Pass]]="Yes",tbl_xbox[[#This Row],[Minecraft Season Pass]]="Yes"),"Yes","No")</f>
        <v>Yes</v>
      </c>
      <c r="P120" s="40">
        <f>tbl_xbox[[#This Row],[Subscription Price]]+tbl_xbox[[#This Row],[EA Play Season Pass
Price]]+tbl_xbox[[#This Row],[Minecraft Season Pass Price]]</f>
        <v>65</v>
      </c>
      <c r="Q120" s="41">
        <f>VLOOKUP(tbl_xbox[[#This Row],[Plan]],tbl_apoio5[#All],2,FALSE)</f>
        <v>2</v>
      </c>
      <c r="R120" s="41">
        <f>VLOOKUP(tbl_xbox[[#This Row],[EA Play Season Pass]],tbl_apoio5[[EA Play Season Pass]:[output2]],2,FALSE)</f>
        <v>3</v>
      </c>
      <c r="S120" s="41">
        <f>VLOOKUP(tbl_xbox[[#This Row],[Minecraft Season Pass]],tbl_apoio5[[Minecraft Season Pass]:[Minecraft Season Pass2]],2,FALSE)</f>
        <v>6</v>
      </c>
      <c r="T120" s="41">
        <f>SUM(tbl_xbox[[#This Row],[Plan2]:[Minecraft Season Pass2]])</f>
        <v>11</v>
      </c>
      <c r="U120" s="40" t="str">
        <f>VLOOKUP(tbl_xbox[[#This Row],[soma]],tbl_apoio5[[#All],[soma]:[output2]],2,FALSE)</f>
        <v>EA Play + Minecraft</v>
      </c>
      <c r="V120" s="7"/>
    </row>
    <row r="121" spans="1:22" ht="16.5" customHeight="1" x14ac:dyDescent="0.2">
      <c r="A121" s="4">
        <v>3350</v>
      </c>
      <c r="B121" s="4" t="s">
        <v>139</v>
      </c>
      <c r="C121" s="4" t="s">
        <v>18</v>
      </c>
      <c r="D121" s="6">
        <v>45467</v>
      </c>
      <c r="E121" s="4" t="s">
        <v>11</v>
      </c>
      <c r="F121" s="7">
        <v>10</v>
      </c>
      <c r="G121" s="4" t="s">
        <v>16</v>
      </c>
      <c r="H121" s="4" t="s">
        <v>15</v>
      </c>
      <c r="I121" s="7">
        <v>0</v>
      </c>
      <c r="J121" s="4" t="s">
        <v>11</v>
      </c>
      <c r="K121" s="7">
        <v>20</v>
      </c>
      <c r="L121" s="7">
        <v>15</v>
      </c>
      <c r="M121" s="7">
        <v>15</v>
      </c>
      <c r="N121" s="40" t="str">
        <f>IF(tbl_xbox[[#This Row],[Coupon Value]]=$L$3,"No","Yes")</f>
        <v>Yes</v>
      </c>
      <c r="O121" s="40" t="str">
        <f>IF(OR(tbl_xbox[[#This Row],[EA Play Season Pass]]="Yes",tbl_xbox[[#This Row],[Minecraft Season Pass]]="Yes"),"Yes","No")</f>
        <v>Yes</v>
      </c>
      <c r="P121" s="40">
        <f>tbl_xbox[[#This Row],[Subscription Price]]+tbl_xbox[[#This Row],[EA Play Season Pass
Price]]+tbl_xbox[[#This Row],[Minecraft Season Pass Price]]</f>
        <v>30</v>
      </c>
      <c r="Q121" s="41">
        <f>VLOOKUP(tbl_xbox[[#This Row],[Plan]],tbl_apoio5[#All],2,FALSE)</f>
        <v>1</v>
      </c>
      <c r="R121" s="41">
        <f>VLOOKUP(tbl_xbox[[#This Row],[EA Play Season Pass]],tbl_apoio5[[EA Play Season Pass]:[output2]],2,FALSE)</f>
        <v>0</v>
      </c>
      <c r="S121" s="41">
        <f>VLOOKUP(tbl_xbox[[#This Row],[Minecraft Season Pass]],tbl_apoio5[[Minecraft Season Pass]:[Minecraft Season Pass2]],2,FALSE)</f>
        <v>6</v>
      </c>
      <c r="T121" s="41">
        <f>SUM(tbl_xbox[[#This Row],[Plan2]:[Minecraft Season Pass2]])</f>
        <v>7</v>
      </c>
      <c r="U121" s="40" t="str">
        <f>VLOOKUP(tbl_xbox[[#This Row],[soma]],tbl_apoio5[[#All],[soma]:[output2]],2,FALSE)</f>
        <v>Minecraft</v>
      </c>
      <c r="V121" s="7"/>
    </row>
    <row r="122" spans="1:22" ht="16.5" customHeight="1" x14ac:dyDescent="0.2">
      <c r="A122" s="4">
        <v>3351</v>
      </c>
      <c r="B122" s="4" t="s">
        <v>140</v>
      </c>
      <c r="C122" s="4" t="s">
        <v>14</v>
      </c>
      <c r="D122" s="6">
        <v>45468</v>
      </c>
      <c r="E122" s="4" t="s">
        <v>15</v>
      </c>
      <c r="F122" s="7">
        <v>5</v>
      </c>
      <c r="G122" s="4" t="s">
        <v>12</v>
      </c>
      <c r="H122" s="4" t="s">
        <v>15</v>
      </c>
      <c r="I122" s="7">
        <v>0</v>
      </c>
      <c r="J122" s="4" t="s">
        <v>15</v>
      </c>
      <c r="K122" s="7">
        <v>0</v>
      </c>
      <c r="L122" s="7">
        <v>1</v>
      </c>
      <c r="M122" s="7">
        <v>4</v>
      </c>
      <c r="N122" s="40" t="str">
        <f>IF(tbl_xbox[[#This Row],[Coupon Value]]=$L$3,"No","Yes")</f>
        <v>Yes</v>
      </c>
      <c r="O122" s="40" t="str">
        <f>IF(OR(tbl_xbox[[#This Row],[EA Play Season Pass]]="Yes",tbl_xbox[[#This Row],[Minecraft Season Pass]]="Yes"),"Yes","No")</f>
        <v>No</v>
      </c>
      <c r="P122" s="40">
        <f>tbl_xbox[[#This Row],[Subscription Price]]+tbl_xbox[[#This Row],[EA Play Season Pass
Price]]+tbl_xbox[[#This Row],[Minecraft Season Pass Price]]</f>
        <v>5</v>
      </c>
      <c r="Q122" s="41">
        <f>VLOOKUP(tbl_xbox[[#This Row],[Plan]],tbl_apoio5[#All],2,FALSE)</f>
        <v>0</v>
      </c>
      <c r="R122" s="41">
        <f>VLOOKUP(tbl_xbox[[#This Row],[EA Play Season Pass]],tbl_apoio5[[EA Play Season Pass]:[output2]],2,FALSE)</f>
        <v>0</v>
      </c>
      <c r="S122" s="41">
        <f>VLOOKUP(tbl_xbox[[#This Row],[Minecraft Season Pass]],tbl_apoio5[[Minecraft Season Pass]:[Minecraft Season Pass2]],2,FALSE)</f>
        <v>0</v>
      </c>
      <c r="T122" s="41">
        <f>SUM(tbl_xbox[[#This Row],[Plan2]:[Minecraft Season Pass2]])</f>
        <v>0</v>
      </c>
      <c r="U122" s="40" t="str">
        <f>VLOOKUP(tbl_xbox[[#This Row],[soma]],tbl_apoio5[[#All],[soma]:[output2]],2,FALSE)</f>
        <v>No Extras</v>
      </c>
      <c r="V122" s="7"/>
    </row>
    <row r="123" spans="1:22" ht="16.5" customHeight="1" x14ac:dyDescent="0.2">
      <c r="A123" s="4">
        <v>3352</v>
      </c>
      <c r="B123" s="4" t="s">
        <v>141</v>
      </c>
      <c r="C123" s="4" t="s">
        <v>10</v>
      </c>
      <c r="D123" s="6">
        <v>45469</v>
      </c>
      <c r="E123" s="4" t="s">
        <v>11</v>
      </c>
      <c r="F123" s="7">
        <v>15</v>
      </c>
      <c r="G123" s="4" t="s">
        <v>19</v>
      </c>
      <c r="H123" s="4" t="s">
        <v>11</v>
      </c>
      <c r="I123" s="7">
        <v>30</v>
      </c>
      <c r="J123" s="4" t="s">
        <v>11</v>
      </c>
      <c r="K123" s="7">
        <v>20</v>
      </c>
      <c r="L123" s="7">
        <v>7</v>
      </c>
      <c r="M123" s="7">
        <v>58</v>
      </c>
      <c r="N123" s="40" t="str">
        <f>IF(tbl_xbox[[#This Row],[Coupon Value]]=$L$3,"No","Yes")</f>
        <v>Yes</v>
      </c>
      <c r="O123" s="40" t="str">
        <f>IF(OR(tbl_xbox[[#This Row],[EA Play Season Pass]]="Yes",tbl_xbox[[#This Row],[Minecraft Season Pass]]="Yes"),"Yes","No")</f>
        <v>Yes</v>
      </c>
      <c r="P123" s="40">
        <f>tbl_xbox[[#This Row],[Subscription Price]]+tbl_xbox[[#This Row],[EA Play Season Pass
Price]]+tbl_xbox[[#This Row],[Minecraft Season Pass Price]]</f>
        <v>65</v>
      </c>
      <c r="Q123" s="41">
        <f>VLOOKUP(tbl_xbox[[#This Row],[Plan]],tbl_apoio5[#All],2,FALSE)</f>
        <v>2</v>
      </c>
      <c r="R123" s="41">
        <f>VLOOKUP(tbl_xbox[[#This Row],[EA Play Season Pass]],tbl_apoio5[[EA Play Season Pass]:[output2]],2,FALSE)</f>
        <v>3</v>
      </c>
      <c r="S123" s="41">
        <f>VLOOKUP(tbl_xbox[[#This Row],[Minecraft Season Pass]],tbl_apoio5[[Minecraft Season Pass]:[Minecraft Season Pass2]],2,FALSE)</f>
        <v>6</v>
      </c>
      <c r="T123" s="41">
        <f>SUM(tbl_xbox[[#This Row],[Plan2]:[Minecraft Season Pass2]])</f>
        <v>11</v>
      </c>
      <c r="U123" s="40" t="str">
        <f>VLOOKUP(tbl_xbox[[#This Row],[soma]],tbl_apoio5[[#All],[soma]:[output2]],2,FALSE)</f>
        <v>EA Play + Minecraft</v>
      </c>
      <c r="V123" s="7"/>
    </row>
    <row r="124" spans="1:22" ht="16.5" customHeight="1" x14ac:dyDescent="0.2">
      <c r="A124" s="4">
        <v>3353</v>
      </c>
      <c r="B124" s="4" t="s">
        <v>142</v>
      </c>
      <c r="C124" s="4" t="s">
        <v>18</v>
      </c>
      <c r="D124" s="6">
        <v>45470</v>
      </c>
      <c r="E124" s="4" t="s">
        <v>15</v>
      </c>
      <c r="F124" s="7">
        <v>10</v>
      </c>
      <c r="G124" s="4" t="s">
        <v>12</v>
      </c>
      <c r="H124" s="4" t="s">
        <v>15</v>
      </c>
      <c r="I124" s="7">
        <v>0</v>
      </c>
      <c r="J124" s="4" t="s">
        <v>11</v>
      </c>
      <c r="K124" s="7">
        <v>20</v>
      </c>
      <c r="L124" s="7">
        <v>10</v>
      </c>
      <c r="M124" s="7">
        <v>20</v>
      </c>
      <c r="N124" s="40" t="str">
        <f>IF(tbl_xbox[[#This Row],[Coupon Value]]=$L$3,"No","Yes")</f>
        <v>Yes</v>
      </c>
      <c r="O124" s="40" t="str">
        <f>IF(OR(tbl_xbox[[#This Row],[EA Play Season Pass]]="Yes",tbl_xbox[[#This Row],[Minecraft Season Pass]]="Yes"),"Yes","No")</f>
        <v>Yes</v>
      </c>
      <c r="P124" s="40">
        <f>tbl_xbox[[#This Row],[Subscription Price]]+tbl_xbox[[#This Row],[EA Play Season Pass
Price]]+tbl_xbox[[#This Row],[Minecraft Season Pass Price]]</f>
        <v>30</v>
      </c>
      <c r="Q124" s="41">
        <f>VLOOKUP(tbl_xbox[[#This Row],[Plan]],tbl_apoio5[#All],2,FALSE)</f>
        <v>1</v>
      </c>
      <c r="R124" s="41">
        <f>VLOOKUP(tbl_xbox[[#This Row],[EA Play Season Pass]],tbl_apoio5[[EA Play Season Pass]:[output2]],2,FALSE)</f>
        <v>0</v>
      </c>
      <c r="S124" s="41">
        <f>VLOOKUP(tbl_xbox[[#This Row],[Minecraft Season Pass]],tbl_apoio5[[Minecraft Season Pass]:[Minecraft Season Pass2]],2,FALSE)</f>
        <v>6</v>
      </c>
      <c r="T124" s="41">
        <f>SUM(tbl_xbox[[#This Row],[Plan2]:[Minecraft Season Pass2]])</f>
        <v>7</v>
      </c>
      <c r="U124" s="40" t="str">
        <f>VLOOKUP(tbl_xbox[[#This Row],[soma]],tbl_apoio5[[#All],[soma]:[output2]],2,FALSE)</f>
        <v>Minecraft</v>
      </c>
      <c r="V124" s="7"/>
    </row>
    <row r="125" spans="1:22" ht="16.5" customHeight="1" x14ac:dyDescent="0.2">
      <c r="A125" s="4">
        <v>3354</v>
      </c>
      <c r="B125" s="4" t="s">
        <v>143</v>
      </c>
      <c r="C125" s="4" t="s">
        <v>14</v>
      </c>
      <c r="D125" s="6">
        <v>45471</v>
      </c>
      <c r="E125" s="4" t="s">
        <v>11</v>
      </c>
      <c r="F125" s="7">
        <v>5</v>
      </c>
      <c r="G125" s="4" t="s">
        <v>16</v>
      </c>
      <c r="H125" s="4" t="s">
        <v>15</v>
      </c>
      <c r="I125" s="7">
        <v>0</v>
      </c>
      <c r="J125" s="4" t="s">
        <v>15</v>
      </c>
      <c r="K125" s="7">
        <v>0</v>
      </c>
      <c r="L125" s="7">
        <v>0</v>
      </c>
      <c r="M125" s="7">
        <v>5</v>
      </c>
      <c r="N125" s="40" t="str">
        <f>IF(tbl_xbox[[#This Row],[Coupon Value]]=$L$3,"No","Yes")</f>
        <v>No</v>
      </c>
      <c r="O125" s="40" t="str">
        <f>IF(OR(tbl_xbox[[#This Row],[EA Play Season Pass]]="Yes",tbl_xbox[[#This Row],[Minecraft Season Pass]]="Yes"),"Yes","No")</f>
        <v>No</v>
      </c>
      <c r="P125" s="40">
        <f>tbl_xbox[[#This Row],[Subscription Price]]+tbl_xbox[[#This Row],[EA Play Season Pass
Price]]+tbl_xbox[[#This Row],[Minecraft Season Pass Price]]</f>
        <v>5</v>
      </c>
      <c r="Q125" s="41">
        <f>VLOOKUP(tbl_xbox[[#This Row],[Plan]],tbl_apoio5[#All],2,FALSE)</f>
        <v>0</v>
      </c>
      <c r="R125" s="41">
        <f>VLOOKUP(tbl_xbox[[#This Row],[EA Play Season Pass]],tbl_apoio5[[EA Play Season Pass]:[output2]],2,FALSE)</f>
        <v>0</v>
      </c>
      <c r="S125" s="41">
        <f>VLOOKUP(tbl_xbox[[#This Row],[Minecraft Season Pass]],tbl_apoio5[[Minecraft Season Pass]:[Minecraft Season Pass2]],2,FALSE)</f>
        <v>0</v>
      </c>
      <c r="T125" s="41">
        <f>SUM(tbl_xbox[[#This Row],[Plan2]:[Minecraft Season Pass2]])</f>
        <v>0</v>
      </c>
      <c r="U125" s="40" t="str">
        <f>VLOOKUP(tbl_xbox[[#This Row],[soma]],tbl_apoio5[[#All],[soma]:[output2]],2,FALSE)</f>
        <v>No Extras</v>
      </c>
      <c r="V125" s="7"/>
    </row>
    <row r="126" spans="1:22" ht="16.5" customHeight="1" x14ac:dyDescent="0.2">
      <c r="A126" s="4">
        <v>3355</v>
      </c>
      <c r="B126" s="4" t="s">
        <v>144</v>
      </c>
      <c r="C126" s="4" t="s">
        <v>10</v>
      </c>
      <c r="D126" s="6">
        <v>45472</v>
      </c>
      <c r="E126" s="4" t="s">
        <v>15</v>
      </c>
      <c r="F126" s="7">
        <v>15</v>
      </c>
      <c r="G126" s="4" t="s">
        <v>12</v>
      </c>
      <c r="H126" s="4" t="s">
        <v>11</v>
      </c>
      <c r="I126" s="7">
        <v>30</v>
      </c>
      <c r="J126" s="4" t="s">
        <v>11</v>
      </c>
      <c r="K126" s="7">
        <v>20</v>
      </c>
      <c r="L126" s="7">
        <v>20</v>
      </c>
      <c r="M126" s="7">
        <v>45</v>
      </c>
      <c r="N126" s="40" t="str">
        <f>IF(tbl_xbox[[#This Row],[Coupon Value]]=$L$3,"No","Yes")</f>
        <v>Yes</v>
      </c>
      <c r="O126" s="40" t="str">
        <f>IF(OR(tbl_xbox[[#This Row],[EA Play Season Pass]]="Yes",tbl_xbox[[#This Row],[Minecraft Season Pass]]="Yes"),"Yes","No")</f>
        <v>Yes</v>
      </c>
      <c r="P126" s="40">
        <f>tbl_xbox[[#This Row],[Subscription Price]]+tbl_xbox[[#This Row],[EA Play Season Pass
Price]]+tbl_xbox[[#This Row],[Minecraft Season Pass Price]]</f>
        <v>65</v>
      </c>
      <c r="Q126" s="41">
        <f>VLOOKUP(tbl_xbox[[#This Row],[Plan]],tbl_apoio5[#All],2,FALSE)</f>
        <v>2</v>
      </c>
      <c r="R126" s="41">
        <f>VLOOKUP(tbl_xbox[[#This Row],[EA Play Season Pass]],tbl_apoio5[[EA Play Season Pass]:[output2]],2,FALSE)</f>
        <v>3</v>
      </c>
      <c r="S126" s="41">
        <f>VLOOKUP(tbl_xbox[[#This Row],[Minecraft Season Pass]],tbl_apoio5[[Minecraft Season Pass]:[Minecraft Season Pass2]],2,FALSE)</f>
        <v>6</v>
      </c>
      <c r="T126" s="41">
        <f>SUM(tbl_xbox[[#This Row],[Plan2]:[Minecraft Season Pass2]])</f>
        <v>11</v>
      </c>
      <c r="U126" s="40" t="str">
        <f>VLOOKUP(tbl_xbox[[#This Row],[soma]],tbl_apoio5[[#All],[soma]:[output2]],2,FALSE)</f>
        <v>EA Play + Minecraft</v>
      </c>
      <c r="V126" s="7"/>
    </row>
    <row r="127" spans="1:22" ht="16.5" customHeight="1" x14ac:dyDescent="0.2">
      <c r="A127" s="4">
        <v>3356</v>
      </c>
      <c r="B127" s="4" t="s">
        <v>145</v>
      </c>
      <c r="C127" s="4" t="s">
        <v>18</v>
      </c>
      <c r="D127" s="6">
        <v>45473</v>
      </c>
      <c r="E127" s="4" t="s">
        <v>11</v>
      </c>
      <c r="F127" s="7">
        <v>10</v>
      </c>
      <c r="G127" s="4" t="s">
        <v>19</v>
      </c>
      <c r="H127" s="4" t="s">
        <v>15</v>
      </c>
      <c r="I127" s="7">
        <v>0</v>
      </c>
      <c r="J127" s="4" t="s">
        <v>11</v>
      </c>
      <c r="K127" s="7">
        <v>20</v>
      </c>
      <c r="L127" s="7">
        <v>15</v>
      </c>
      <c r="M127" s="7">
        <v>15</v>
      </c>
      <c r="N127" s="40" t="str">
        <f>IF(tbl_xbox[[#This Row],[Coupon Value]]=$L$3,"No","Yes")</f>
        <v>Yes</v>
      </c>
      <c r="O127" s="40" t="str">
        <f>IF(OR(tbl_xbox[[#This Row],[EA Play Season Pass]]="Yes",tbl_xbox[[#This Row],[Minecraft Season Pass]]="Yes"),"Yes","No")</f>
        <v>Yes</v>
      </c>
      <c r="P127" s="40">
        <f>tbl_xbox[[#This Row],[Subscription Price]]+tbl_xbox[[#This Row],[EA Play Season Pass
Price]]+tbl_xbox[[#This Row],[Minecraft Season Pass Price]]</f>
        <v>30</v>
      </c>
      <c r="Q127" s="41">
        <f>VLOOKUP(tbl_xbox[[#This Row],[Plan]],tbl_apoio5[#All],2,FALSE)</f>
        <v>1</v>
      </c>
      <c r="R127" s="41">
        <f>VLOOKUP(tbl_xbox[[#This Row],[EA Play Season Pass]],tbl_apoio5[[EA Play Season Pass]:[output2]],2,FALSE)</f>
        <v>0</v>
      </c>
      <c r="S127" s="41">
        <f>VLOOKUP(tbl_xbox[[#This Row],[Minecraft Season Pass]],tbl_apoio5[[Minecraft Season Pass]:[Minecraft Season Pass2]],2,FALSE)</f>
        <v>6</v>
      </c>
      <c r="T127" s="41">
        <f>SUM(tbl_xbox[[#This Row],[Plan2]:[Minecraft Season Pass2]])</f>
        <v>7</v>
      </c>
      <c r="U127" s="40" t="str">
        <f>VLOOKUP(tbl_xbox[[#This Row],[soma]],tbl_apoio5[[#All],[soma]:[output2]],2,FALSE)</f>
        <v>Minecraft</v>
      </c>
      <c r="V127" s="7"/>
    </row>
    <row r="128" spans="1:22" ht="16.5" customHeight="1" x14ac:dyDescent="0.2">
      <c r="A128" s="4">
        <v>3357</v>
      </c>
      <c r="B128" s="4" t="s">
        <v>146</v>
      </c>
      <c r="C128" s="4" t="s">
        <v>14</v>
      </c>
      <c r="D128" s="6">
        <v>45474</v>
      </c>
      <c r="E128" s="4" t="s">
        <v>15</v>
      </c>
      <c r="F128" s="7">
        <v>5</v>
      </c>
      <c r="G128" s="4" t="s">
        <v>12</v>
      </c>
      <c r="H128" s="4" t="s">
        <v>15</v>
      </c>
      <c r="I128" s="7">
        <v>0</v>
      </c>
      <c r="J128" s="4" t="s">
        <v>15</v>
      </c>
      <c r="K128" s="7">
        <v>0</v>
      </c>
      <c r="L128" s="7">
        <v>1</v>
      </c>
      <c r="M128" s="7">
        <v>4</v>
      </c>
      <c r="N128" s="40" t="str">
        <f>IF(tbl_xbox[[#This Row],[Coupon Value]]=$L$3,"No","Yes")</f>
        <v>Yes</v>
      </c>
      <c r="O128" s="40" t="str">
        <f>IF(OR(tbl_xbox[[#This Row],[EA Play Season Pass]]="Yes",tbl_xbox[[#This Row],[Minecraft Season Pass]]="Yes"),"Yes","No")</f>
        <v>No</v>
      </c>
      <c r="P128" s="40">
        <f>tbl_xbox[[#This Row],[Subscription Price]]+tbl_xbox[[#This Row],[EA Play Season Pass
Price]]+tbl_xbox[[#This Row],[Minecraft Season Pass Price]]</f>
        <v>5</v>
      </c>
      <c r="Q128" s="41">
        <f>VLOOKUP(tbl_xbox[[#This Row],[Plan]],tbl_apoio5[#All],2,FALSE)</f>
        <v>0</v>
      </c>
      <c r="R128" s="41">
        <f>VLOOKUP(tbl_xbox[[#This Row],[EA Play Season Pass]],tbl_apoio5[[EA Play Season Pass]:[output2]],2,FALSE)</f>
        <v>0</v>
      </c>
      <c r="S128" s="41">
        <f>VLOOKUP(tbl_xbox[[#This Row],[Minecraft Season Pass]],tbl_apoio5[[Minecraft Season Pass]:[Minecraft Season Pass2]],2,FALSE)</f>
        <v>0</v>
      </c>
      <c r="T128" s="41">
        <f>SUM(tbl_xbox[[#This Row],[Plan2]:[Minecraft Season Pass2]])</f>
        <v>0</v>
      </c>
      <c r="U128" s="40" t="str">
        <f>VLOOKUP(tbl_xbox[[#This Row],[soma]],tbl_apoio5[[#All],[soma]:[output2]],2,FALSE)</f>
        <v>No Extras</v>
      </c>
      <c r="V128" s="7"/>
    </row>
    <row r="129" spans="1:22" ht="16.5" customHeight="1" x14ac:dyDescent="0.2">
      <c r="A129" s="4">
        <v>3358</v>
      </c>
      <c r="B129" s="4" t="s">
        <v>147</v>
      </c>
      <c r="C129" s="4" t="s">
        <v>10</v>
      </c>
      <c r="D129" s="6">
        <v>45475</v>
      </c>
      <c r="E129" s="4" t="s">
        <v>11</v>
      </c>
      <c r="F129" s="7">
        <v>15</v>
      </c>
      <c r="G129" s="4" t="s">
        <v>16</v>
      </c>
      <c r="H129" s="4" t="s">
        <v>11</v>
      </c>
      <c r="I129" s="7">
        <v>30</v>
      </c>
      <c r="J129" s="4" t="s">
        <v>11</v>
      </c>
      <c r="K129" s="7">
        <v>20</v>
      </c>
      <c r="L129" s="7">
        <v>3</v>
      </c>
      <c r="M129" s="7">
        <v>62</v>
      </c>
      <c r="N129" s="40" t="str">
        <f>IF(tbl_xbox[[#This Row],[Coupon Value]]=$L$3,"No","Yes")</f>
        <v>Yes</v>
      </c>
      <c r="O129" s="40" t="str">
        <f>IF(OR(tbl_xbox[[#This Row],[EA Play Season Pass]]="Yes",tbl_xbox[[#This Row],[Minecraft Season Pass]]="Yes"),"Yes","No")</f>
        <v>Yes</v>
      </c>
      <c r="P129" s="40">
        <f>tbl_xbox[[#This Row],[Subscription Price]]+tbl_xbox[[#This Row],[EA Play Season Pass
Price]]+tbl_xbox[[#This Row],[Minecraft Season Pass Price]]</f>
        <v>65</v>
      </c>
      <c r="Q129" s="41">
        <f>VLOOKUP(tbl_xbox[[#This Row],[Plan]],tbl_apoio5[#All],2,FALSE)</f>
        <v>2</v>
      </c>
      <c r="R129" s="41">
        <f>VLOOKUP(tbl_xbox[[#This Row],[EA Play Season Pass]],tbl_apoio5[[EA Play Season Pass]:[output2]],2,FALSE)</f>
        <v>3</v>
      </c>
      <c r="S129" s="41">
        <f>VLOOKUP(tbl_xbox[[#This Row],[Minecraft Season Pass]],tbl_apoio5[[Minecraft Season Pass]:[Minecraft Season Pass2]],2,FALSE)</f>
        <v>6</v>
      </c>
      <c r="T129" s="41">
        <f>SUM(tbl_xbox[[#This Row],[Plan2]:[Minecraft Season Pass2]])</f>
        <v>11</v>
      </c>
      <c r="U129" s="40" t="str">
        <f>VLOOKUP(tbl_xbox[[#This Row],[soma]],tbl_apoio5[[#All],[soma]:[output2]],2,FALSE)</f>
        <v>EA Play + Minecraft</v>
      </c>
      <c r="V129" s="7"/>
    </row>
    <row r="130" spans="1:22" ht="16.5" customHeight="1" x14ac:dyDescent="0.2">
      <c r="A130" s="4">
        <v>3359</v>
      </c>
      <c r="B130" s="4" t="s">
        <v>148</v>
      </c>
      <c r="C130" s="4" t="s">
        <v>18</v>
      </c>
      <c r="D130" s="6">
        <v>45476</v>
      </c>
      <c r="E130" s="4" t="s">
        <v>15</v>
      </c>
      <c r="F130" s="7">
        <v>10</v>
      </c>
      <c r="G130" s="4" t="s">
        <v>12</v>
      </c>
      <c r="H130" s="4" t="s">
        <v>15</v>
      </c>
      <c r="I130" s="7">
        <v>0</v>
      </c>
      <c r="J130" s="4" t="s">
        <v>11</v>
      </c>
      <c r="K130" s="7">
        <v>20</v>
      </c>
      <c r="L130" s="7">
        <v>10</v>
      </c>
      <c r="M130" s="7">
        <v>20</v>
      </c>
      <c r="N130" s="40" t="str">
        <f>IF(tbl_xbox[[#This Row],[Coupon Value]]=$L$3,"No","Yes")</f>
        <v>Yes</v>
      </c>
      <c r="O130" s="40" t="str">
        <f>IF(OR(tbl_xbox[[#This Row],[EA Play Season Pass]]="Yes",tbl_xbox[[#This Row],[Minecraft Season Pass]]="Yes"),"Yes","No")</f>
        <v>Yes</v>
      </c>
      <c r="P130" s="40">
        <f>tbl_xbox[[#This Row],[Subscription Price]]+tbl_xbox[[#This Row],[EA Play Season Pass
Price]]+tbl_xbox[[#This Row],[Minecraft Season Pass Price]]</f>
        <v>30</v>
      </c>
      <c r="Q130" s="41">
        <f>VLOOKUP(tbl_xbox[[#This Row],[Plan]],tbl_apoio5[#All],2,FALSE)</f>
        <v>1</v>
      </c>
      <c r="R130" s="41">
        <f>VLOOKUP(tbl_xbox[[#This Row],[EA Play Season Pass]],tbl_apoio5[[EA Play Season Pass]:[output2]],2,FALSE)</f>
        <v>0</v>
      </c>
      <c r="S130" s="41">
        <f>VLOOKUP(tbl_xbox[[#This Row],[Minecraft Season Pass]],tbl_apoio5[[Minecraft Season Pass]:[Minecraft Season Pass2]],2,FALSE)</f>
        <v>6</v>
      </c>
      <c r="T130" s="41">
        <f>SUM(tbl_xbox[[#This Row],[Plan2]:[Minecraft Season Pass2]])</f>
        <v>7</v>
      </c>
      <c r="U130" s="40" t="str">
        <f>VLOOKUP(tbl_xbox[[#This Row],[soma]],tbl_apoio5[[#All],[soma]:[output2]],2,FALSE)</f>
        <v>Minecraft</v>
      </c>
      <c r="V130" s="7"/>
    </row>
    <row r="131" spans="1:22" ht="16.5" customHeight="1" x14ac:dyDescent="0.2">
      <c r="A131" s="4">
        <v>3360</v>
      </c>
      <c r="B131" s="4" t="s">
        <v>149</v>
      </c>
      <c r="C131" s="4" t="s">
        <v>14</v>
      </c>
      <c r="D131" s="6">
        <v>45477</v>
      </c>
      <c r="E131" s="4" t="s">
        <v>11</v>
      </c>
      <c r="F131" s="7">
        <v>5</v>
      </c>
      <c r="G131" s="4" t="s">
        <v>19</v>
      </c>
      <c r="H131" s="4" t="s">
        <v>15</v>
      </c>
      <c r="I131" s="7">
        <v>0</v>
      </c>
      <c r="J131" s="4" t="s">
        <v>15</v>
      </c>
      <c r="K131" s="7">
        <v>0</v>
      </c>
      <c r="L131" s="7">
        <v>0</v>
      </c>
      <c r="M131" s="7">
        <v>5</v>
      </c>
      <c r="N131" s="40" t="str">
        <f>IF(tbl_xbox[[#This Row],[Coupon Value]]=$L$3,"No","Yes")</f>
        <v>No</v>
      </c>
      <c r="O131" s="40" t="str">
        <f>IF(OR(tbl_xbox[[#This Row],[EA Play Season Pass]]="Yes",tbl_xbox[[#This Row],[Minecraft Season Pass]]="Yes"),"Yes","No")</f>
        <v>No</v>
      </c>
      <c r="P131" s="40">
        <f>tbl_xbox[[#This Row],[Subscription Price]]+tbl_xbox[[#This Row],[EA Play Season Pass
Price]]+tbl_xbox[[#This Row],[Minecraft Season Pass Price]]</f>
        <v>5</v>
      </c>
      <c r="Q131" s="41">
        <f>VLOOKUP(tbl_xbox[[#This Row],[Plan]],tbl_apoio5[#All],2,FALSE)</f>
        <v>0</v>
      </c>
      <c r="R131" s="41">
        <f>VLOOKUP(tbl_xbox[[#This Row],[EA Play Season Pass]],tbl_apoio5[[EA Play Season Pass]:[output2]],2,FALSE)</f>
        <v>0</v>
      </c>
      <c r="S131" s="41">
        <f>VLOOKUP(tbl_xbox[[#This Row],[Minecraft Season Pass]],tbl_apoio5[[Minecraft Season Pass]:[Minecraft Season Pass2]],2,FALSE)</f>
        <v>0</v>
      </c>
      <c r="T131" s="41">
        <f>SUM(tbl_xbox[[#This Row],[Plan2]:[Minecraft Season Pass2]])</f>
        <v>0</v>
      </c>
      <c r="U131" s="40" t="str">
        <f>VLOOKUP(tbl_xbox[[#This Row],[soma]],tbl_apoio5[[#All],[soma]:[output2]],2,FALSE)</f>
        <v>No Extras</v>
      </c>
      <c r="V131" s="7"/>
    </row>
    <row r="132" spans="1:22" ht="16.5" customHeight="1" x14ac:dyDescent="0.2">
      <c r="A132" s="4">
        <v>3361</v>
      </c>
      <c r="B132" s="4" t="s">
        <v>150</v>
      </c>
      <c r="C132" s="4" t="s">
        <v>10</v>
      </c>
      <c r="D132" s="6">
        <v>45478</v>
      </c>
      <c r="E132" s="4" t="s">
        <v>15</v>
      </c>
      <c r="F132" s="7">
        <v>15</v>
      </c>
      <c r="G132" s="4" t="s">
        <v>12</v>
      </c>
      <c r="H132" s="4" t="s">
        <v>11</v>
      </c>
      <c r="I132" s="7">
        <v>30</v>
      </c>
      <c r="J132" s="4" t="s">
        <v>11</v>
      </c>
      <c r="K132" s="7">
        <v>20</v>
      </c>
      <c r="L132" s="7">
        <v>15</v>
      </c>
      <c r="M132" s="7">
        <v>50</v>
      </c>
      <c r="N132" s="40" t="str">
        <f>IF(tbl_xbox[[#This Row],[Coupon Value]]=$L$3,"No","Yes")</f>
        <v>Yes</v>
      </c>
      <c r="O132" s="40" t="str">
        <f>IF(OR(tbl_xbox[[#This Row],[EA Play Season Pass]]="Yes",tbl_xbox[[#This Row],[Minecraft Season Pass]]="Yes"),"Yes","No")</f>
        <v>Yes</v>
      </c>
      <c r="P132" s="40">
        <f>tbl_xbox[[#This Row],[Subscription Price]]+tbl_xbox[[#This Row],[EA Play Season Pass
Price]]+tbl_xbox[[#This Row],[Minecraft Season Pass Price]]</f>
        <v>65</v>
      </c>
      <c r="Q132" s="41">
        <f>VLOOKUP(tbl_xbox[[#This Row],[Plan]],tbl_apoio5[#All],2,FALSE)</f>
        <v>2</v>
      </c>
      <c r="R132" s="41">
        <f>VLOOKUP(tbl_xbox[[#This Row],[EA Play Season Pass]],tbl_apoio5[[EA Play Season Pass]:[output2]],2,FALSE)</f>
        <v>3</v>
      </c>
      <c r="S132" s="41">
        <f>VLOOKUP(tbl_xbox[[#This Row],[Minecraft Season Pass]],tbl_apoio5[[Minecraft Season Pass]:[Minecraft Season Pass2]],2,FALSE)</f>
        <v>6</v>
      </c>
      <c r="T132" s="41">
        <f>SUM(tbl_xbox[[#This Row],[Plan2]:[Minecraft Season Pass2]])</f>
        <v>11</v>
      </c>
      <c r="U132" s="40" t="str">
        <f>VLOOKUP(tbl_xbox[[#This Row],[soma]],tbl_apoio5[[#All],[soma]:[output2]],2,FALSE)</f>
        <v>EA Play + Minecraft</v>
      </c>
      <c r="V132" s="7"/>
    </row>
    <row r="133" spans="1:22" ht="16.5" customHeight="1" x14ac:dyDescent="0.2">
      <c r="A133" s="4">
        <v>3362</v>
      </c>
      <c r="B133" s="4" t="s">
        <v>151</v>
      </c>
      <c r="C133" s="4" t="s">
        <v>18</v>
      </c>
      <c r="D133" s="6">
        <v>45479</v>
      </c>
      <c r="E133" s="4" t="s">
        <v>11</v>
      </c>
      <c r="F133" s="7">
        <v>10</v>
      </c>
      <c r="G133" s="4" t="s">
        <v>16</v>
      </c>
      <c r="H133" s="4" t="s">
        <v>15</v>
      </c>
      <c r="I133" s="7">
        <v>0</v>
      </c>
      <c r="J133" s="4" t="s">
        <v>11</v>
      </c>
      <c r="K133" s="7">
        <v>20</v>
      </c>
      <c r="L133" s="7">
        <v>15</v>
      </c>
      <c r="M133" s="7">
        <v>15</v>
      </c>
      <c r="N133" s="40" t="str">
        <f>IF(tbl_xbox[[#This Row],[Coupon Value]]=$L$3,"No","Yes")</f>
        <v>Yes</v>
      </c>
      <c r="O133" s="40" t="str">
        <f>IF(OR(tbl_xbox[[#This Row],[EA Play Season Pass]]="Yes",tbl_xbox[[#This Row],[Minecraft Season Pass]]="Yes"),"Yes","No")</f>
        <v>Yes</v>
      </c>
      <c r="P133" s="40">
        <f>tbl_xbox[[#This Row],[Subscription Price]]+tbl_xbox[[#This Row],[EA Play Season Pass
Price]]+tbl_xbox[[#This Row],[Minecraft Season Pass Price]]</f>
        <v>30</v>
      </c>
      <c r="Q133" s="41">
        <f>VLOOKUP(tbl_xbox[[#This Row],[Plan]],tbl_apoio5[#All],2,FALSE)</f>
        <v>1</v>
      </c>
      <c r="R133" s="41">
        <f>VLOOKUP(tbl_xbox[[#This Row],[EA Play Season Pass]],tbl_apoio5[[EA Play Season Pass]:[output2]],2,FALSE)</f>
        <v>0</v>
      </c>
      <c r="S133" s="41">
        <f>VLOOKUP(tbl_xbox[[#This Row],[Minecraft Season Pass]],tbl_apoio5[[Minecraft Season Pass]:[Minecraft Season Pass2]],2,FALSE)</f>
        <v>6</v>
      </c>
      <c r="T133" s="41">
        <f>SUM(tbl_xbox[[#This Row],[Plan2]:[Minecraft Season Pass2]])</f>
        <v>7</v>
      </c>
      <c r="U133" s="40" t="str">
        <f>VLOOKUP(tbl_xbox[[#This Row],[soma]],tbl_apoio5[[#All],[soma]:[output2]],2,FALSE)</f>
        <v>Minecraft</v>
      </c>
      <c r="V133" s="7"/>
    </row>
    <row r="134" spans="1:22" ht="16.5" customHeight="1" x14ac:dyDescent="0.2">
      <c r="A134" s="4">
        <v>3363</v>
      </c>
      <c r="B134" s="4" t="s">
        <v>152</v>
      </c>
      <c r="C134" s="4" t="s">
        <v>14</v>
      </c>
      <c r="D134" s="6">
        <v>45480</v>
      </c>
      <c r="E134" s="4" t="s">
        <v>15</v>
      </c>
      <c r="F134" s="7">
        <v>5</v>
      </c>
      <c r="G134" s="4" t="s">
        <v>12</v>
      </c>
      <c r="H134" s="4" t="s">
        <v>15</v>
      </c>
      <c r="I134" s="7">
        <v>0</v>
      </c>
      <c r="J134" s="4" t="s">
        <v>15</v>
      </c>
      <c r="K134" s="7">
        <v>0</v>
      </c>
      <c r="L134" s="7">
        <v>1</v>
      </c>
      <c r="M134" s="7">
        <v>4</v>
      </c>
      <c r="N134" s="40" t="str">
        <f>IF(tbl_xbox[[#This Row],[Coupon Value]]=$L$3,"No","Yes")</f>
        <v>Yes</v>
      </c>
      <c r="O134" s="40" t="str">
        <f>IF(OR(tbl_xbox[[#This Row],[EA Play Season Pass]]="Yes",tbl_xbox[[#This Row],[Minecraft Season Pass]]="Yes"),"Yes","No")</f>
        <v>No</v>
      </c>
      <c r="P134" s="40">
        <f>tbl_xbox[[#This Row],[Subscription Price]]+tbl_xbox[[#This Row],[EA Play Season Pass
Price]]+tbl_xbox[[#This Row],[Minecraft Season Pass Price]]</f>
        <v>5</v>
      </c>
      <c r="Q134" s="41">
        <f>VLOOKUP(tbl_xbox[[#This Row],[Plan]],tbl_apoio5[#All],2,FALSE)</f>
        <v>0</v>
      </c>
      <c r="R134" s="41">
        <f>VLOOKUP(tbl_xbox[[#This Row],[EA Play Season Pass]],tbl_apoio5[[EA Play Season Pass]:[output2]],2,FALSE)</f>
        <v>0</v>
      </c>
      <c r="S134" s="41">
        <f>VLOOKUP(tbl_xbox[[#This Row],[Minecraft Season Pass]],tbl_apoio5[[Minecraft Season Pass]:[Minecraft Season Pass2]],2,FALSE)</f>
        <v>0</v>
      </c>
      <c r="T134" s="41">
        <f>SUM(tbl_xbox[[#This Row],[Plan2]:[Minecraft Season Pass2]])</f>
        <v>0</v>
      </c>
      <c r="U134" s="40" t="str">
        <f>VLOOKUP(tbl_xbox[[#This Row],[soma]],tbl_apoio5[[#All],[soma]:[output2]],2,FALSE)</f>
        <v>No Extras</v>
      </c>
      <c r="V134" s="7"/>
    </row>
    <row r="135" spans="1:22" ht="16.5" customHeight="1" x14ac:dyDescent="0.2">
      <c r="A135" s="4">
        <v>3364</v>
      </c>
      <c r="B135" s="4" t="s">
        <v>153</v>
      </c>
      <c r="C135" s="4" t="s">
        <v>10</v>
      </c>
      <c r="D135" s="6">
        <v>45481</v>
      </c>
      <c r="E135" s="4" t="s">
        <v>11</v>
      </c>
      <c r="F135" s="7">
        <v>15</v>
      </c>
      <c r="G135" s="4" t="s">
        <v>19</v>
      </c>
      <c r="H135" s="4" t="s">
        <v>11</v>
      </c>
      <c r="I135" s="7">
        <v>30</v>
      </c>
      <c r="J135" s="4" t="s">
        <v>11</v>
      </c>
      <c r="K135" s="7">
        <v>20</v>
      </c>
      <c r="L135" s="7">
        <v>7</v>
      </c>
      <c r="M135" s="7">
        <v>58</v>
      </c>
      <c r="N135" s="40" t="str">
        <f>IF(tbl_xbox[[#This Row],[Coupon Value]]=$L$3,"No","Yes")</f>
        <v>Yes</v>
      </c>
      <c r="O135" s="40" t="str">
        <f>IF(OR(tbl_xbox[[#This Row],[EA Play Season Pass]]="Yes",tbl_xbox[[#This Row],[Minecraft Season Pass]]="Yes"),"Yes","No")</f>
        <v>Yes</v>
      </c>
      <c r="P135" s="40">
        <f>tbl_xbox[[#This Row],[Subscription Price]]+tbl_xbox[[#This Row],[EA Play Season Pass
Price]]+tbl_xbox[[#This Row],[Minecraft Season Pass Price]]</f>
        <v>65</v>
      </c>
      <c r="Q135" s="41">
        <f>VLOOKUP(tbl_xbox[[#This Row],[Plan]],tbl_apoio5[#All],2,FALSE)</f>
        <v>2</v>
      </c>
      <c r="R135" s="41">
        <f>VLOOKUP(tbl_xbox[[#This Row],[EA Play Season Pass]],tbl_apoio5[[EA Play Season Pass]:[output2]],2,FALSE)</f>
        <v>3</v>
      </c>
      <c r="S135" s="41">
        <f>VLOOKUP(tbl_xbox[[#This Row],[Minecraft Season Pass]],tbl_apoio5[[Minecraft Season Pass]:[Minecraft Season Pass2]],2,FALSE)</f>
        <v>6</v>
      </c>
      <c r="T135" s="41">
        <f>SUM(tbl_xbox[[#This Row],[Plan2]:[Minecraft Season Pass2]])</f>
        <v>11</v>
      </c>
      <c r="U135" s="40" t="str">
        <f>VLOOKUP(tbl_xbox[[#This Row],[soma]],tbl_apoio5[[#All],[soma]:[output2]],2,FALSE)</f>
        <v>EA Play + Minecraft</v>
      </c>
      <c r="V135" s="7"/>
    </row>
    <row r="136" spans="1:22" ht="16.5" customHeight="1" x14ac:dyDescent="0.2">
      <c r="A136" s="4">
        <v>3365</v>
      </c>
      <c r="B136" s="4" t="s">
        <v>154</v>
      </c>
      <c r="C136" s="4" t="s">
        <v>18</v>
      </c>
      <c r="D136" s="6">
        <v>45482</v>
      </c>
      <c r="E136" s="4" t="s">
        <v>15</v>
      </c>
      <c r="F136" s="7">
        <v>10</v>
      </c>
      <c r="G136" s="4" t="s">
        <v>12</v>
      </c>
      <c r="H136" s="4" t="s">
        <v>15</v>
      </c>
      <c r="I136" s="7">
        <v>0</v>
      </c>
      <c r="J136" s="4" t="s">
        <v>11</v>
      </c>
      <c r="K136" s="7">
        <v>20</v>
      </c>
      <c r="L136" s="7">
        <v>10</v>
      </c>
      <c r="M136" s="7">
        <v>20</v>
      </c>
      <c r="N136" s="40" t="str">
        <f>IF(tbl_xbox[[#This Row],[Coupon Value]]=$L$3,"No","Yes")</f>
        <v>Yes</v>
      </c>
      <c r="O136" s="40" t="str">
        <f>IF(OR(tbl_xbox[[#This Row],[EA Play Season Pass]]="Yes",tbl_xbox[[#This Row],[Minecraft Season Pass]]="Yes"),"Yes","No")</f>
        <v>Yes</v>
      </c>
      <c r="P136" s="40">
        <f>tbl_xbox[[#This Row],[Subscription Price]]+tbl_xbox[[#This Row],[EA Play Season Pass
Price]]+tbl_xbox[[#This Row],[Minecraft Season Pass Price]]</f>
        <v>30</v>
      </c>
      <c r="Q136" s="41">
        <f>VLOOKUP(tbl_xbox[[#This Row],[Plan]],tbl_apoio5[#All],2,FALSE)</f>
        <v>1</v>
      </c>
      <c r="R136" s="41">
        <f>VLOOKUP(tbl_xbox[[#This Row],[EA Play Season Pass]],tbl_apoio5[[EA Play Season Pass]:[output2]],2,FALSE)</f>
        <v>0</v>
      </c>
      <c r="S136" s="41">
        <f>VLOOKUP(tbl_xbox[[#This Row],[Minecraft Season Pass]],tbl_apoio5[[Minecraft Season Pass]:[Minecraft Season Pass2]],2,FALSE)</f>
        <v>6</v>
      </c>
      <c r="T136" s="41">
        <f>SUM(tbl_xbox[[#This Row],[Plan2]:[Minecraft Season Pass2]])</f>
        <v>7</v>
      </c>
      <c r="U136" s="40" t="str">
        <f>VLOOKUP(tbl_xbox[[#This Row],[soma]],tbl_apoio5[[#All],[soma]:[output2]],2,FALSE)</f>
        <v>Minecraft</v>
      </c>
      <c r="V136" s="7"/>
    </row>
    <row r="137" spans="1:22" ht="16.5" customHeight="1" x14ac:dyDescent="0.2">
      <c r="A137" s="4">
        <v>3366</v>
      </c>
      <c r="B137" s="4" t="s">
        <v>155</v>
      </c>
      <c r="C137" s="4" t="s">
        <v>14</v>
      </c>
      <c r="D137" s="6">
        <v>45483</v>
      </c>
      <c r="E137" s="4" t="s">
        <v>11</v>
      </c>
      <c r="F137" s="7">
        <v>5</v>
      </c>
      <c r="G137" s="4" t="s">
        <v>12</v>
      </c>
      <c r="H137" s="4" t="s">
        <v>15</v>
      </c>
      <c r="I137" s="7">
        <v>0</v>
      </c>
      <c r="J137" s="4" t="s">
        <v>15</v>
      </c>
      <c r="K137" s="7">
        <v>0</v>
      </c>
      <c r="L137" s="7">
        <v>0</v>
      </c>
      <c r="M137" s="7">
        <v>5</v>
      </c>
      <c r="N137" s="40" t="str">
        <f>IF(tbl_xbox[[#This Row],[Coupon Value]]=$L$3,"No","Yes")</f>
        <v>No</v>
      </c>
      <c r="O137" s="40" t="str">
        <f>IF(OR(tbl_xbox[[#This Row],[EA Play Season Pass]]="Yes",tbl_xbox[[#This Row],[Minecraft Season Pass]]="Yes"),"Yes","No")</f>
        <v>No</v>
      </c>
      <c r="P137" s="40">
        <f>tbl_xbox[[#This Row],[Subscription Price]]+tbl_xbox[[#This Row],[EA Play Season Pass
Price]]+tbl_xbox[[#This Row],[Minecraft Season Pass Price]]</f>
        <v>5</v>
      </c>
      <c r="Q137" s="41">
        <f>VLOOKUP(tbl_xbox[[#This Row],[Plan]],tbl_apoio5[#All],2,FALSE)</f>
        <v>0</v>
      </c>
      <c r="R137" s="41">
        <f>VLOOKUP(tbl_xbox[[#This Row],[EA Play Season Pass]],tbl_apoio5[[EA Play Season Pass]:[output2]],2,FALSE)</f>
        <v>0</v>
      </c>
      <c r="S137" s="41">
        <f>VLOOKUP(tbl_xbox[[#This Row],[Minecraft Season Pass]],tbl_apoio5[[Minecraft Season Pass]:[Minecraft Season Pass2]],2,FALSE)</f>
        <v>0</v>
      </c>
      <c r="T137" s="41">
        <f>SUM(tbl_xbox[[#This Row],[Plan2]:[Minecraft Season Pass2]])</f>
        <v>0</v>
      </c>
      <c r="U137" s="40" t="str">
        <f>VLOOKUP(tbl_xbox[[#This Row],[soma]],tbl_apoio5[[#All],[soma]:[output2]],2,FALSE)</f>
        <v>No Extras</v>
      </c>
      <c r="V137" s="7"/>
    </row>
    <row r="138" spans="1:22" ht="16.5" customHeight="1" x14ac:dyDescent="0.2">
      <c r="A138" s="4">
        <v>3367</v>
      </c>
      <c r="B138" s="4" t="s">
        <v>156</v>
      </c>
      <c r="C138" s="4" t="s">
        <v>10</v>
      </c>
      <c r="D138" s="6">
        <v>45484</v>
      </c>
      <c r="E138" s="4" t="s">
        <v>15</v>
      </c>
      <c r="F138" s="7">
        <v>15</v>
      </c>
      <c r="G138" s="4" t="s">
        <v>19</v>
      </c>
      <c r="H138" s="4" t="s">
        <v>11</v>
      </c>
      <c r="I138" s="7">
        <v>30</v>
      </c>
      <c r="J138" s="4" t="s">
        <v>11</v>
      </c>
      <c r="K138" s="7">
        <v>20</v>
      </c>
      <c r="L138" s="7">
        <v>7</v>
      </c>
      <c r="M138" s="7">
        <v>58</v>
      </c>
      <c r="N138" s="40" t="str">
        <f>IF(tbl_xbox[[#This Row],[Coupon Value]]=$L$3,"No","Yes")</f>
        <v>Yes</v>
      </c>
      <c r="O138" s="40" t="str">
        <f>IF(OR(tbl_xbox[[#This Row],[EA Play Season Pass]]="Yes",tbl_xbox[[#This Row],[Minecraft Season Pass]]="Yes"),"Yes","No")</f>
        <v>Yes</v>
      </c>
      <c r="P138" s="40">
        <f>tbl_xbox[[#This Row],[Subscription Price]]+tbl_xbox[[#This Row],[EA Play Season Pass
Price]]+tbl_xbox[[#This Row],[Minecraft Season Pass Price]]</f>
        <v>65</v>
      </c>
      <c r="Q138" s="41">
        <f>VLOOKUP(tbl_xbox[[#This Row],[Plan]],tbl_apoio5[#All],2,FALSE)</f>
        <v>2</v>
      </c>
      <c r="R138" s="41">
        <f>VLOOKUP(tbl_xbox[[#This Row],[EA Play Season Pass]],tbl_apoio5[[EA Play Season Pass]:[output2]],2,FALSE)</f>
        <v>3</v>
      </c>
      <c r="S138" s="41">
        <f>VLOOKUP(tbl_xbox[[#This Row],[Minecraft Season Pass]],tbl_apoio5[[Minecraft Season Pass]:[Minecraft Season Pass2]],2,FALSE)</f>
        <v>6</v>
      </c>
      <c r="T138" s="41">
        <f>SUM(tbl_xbox[[#This Row],[Plan2]:[Minecraft Season Pass2]])</f>
        <v>11</v>
      </c>
      <c r="U138" s="40" t="str">
        <f>VLOOKUP(tbl_xbox[[#This Row],[soma]],tbl_apoio5[[#All],[soma]:[output2]],2,FALSE)</f>
        <v>EA Play + Minecraft</v>
      </c>
      <c r="V138" s="7"/>
    </row>
    <row r="139" spans="1:22" ht="16.5" customHeight="1" x14ac:dyDescent="0.2">
      <c r="A139" s="4">
        <v>3368</v>
      </c>
      <c r="B139" s="4" t="s">
        <v>157</v>
      </c>
      <c r="C139" s="4" t="s">
        <v>18</v>
      </c>
      <c r="D139" s="6">
        <v>45485</v>
      </c>
      <c r="E139" s="4" t="s">
        <v>11</v>
      </c>
      <c r="F139" s="7">
        <v>10</v>
      </c>
      <c r="G139" s="4" t="s">
        <v>16</v>
      </c>
      <c r="H139" s="4" t="s">
        <v>15</v>
      </c>
      <c r="I139" s="7">
        <v>0</v>
      </c>
      <c r="J139" s="4" t="s">
        <v>11</v>
      </c>
      <c r="K139" s="7">
        <v>20</v>
      </c>
      <c r="L139" s="7">
        <v>10</v>
      </c>
      <c r="M139" s="7">
        <v>20</v>
      </c>
      <c r="N139" s="40" t="str">
        <f>IF(tbl_xbox[[#This Row],[Coupon Value]]=$L$3,"No","Yes")</f>
        <v>Yes</v>
      </c>
      <c r="O139" s="40" t="str">
        <f>IF(OR(tbl_xbox[[#This Row],[EA Play Season Pass]]="Yes",tbl_xbox[[#This Row],[Minecraft Season Pass]]="Yes"),"Yes","No")</f>
        <v>Yes</v>
      </c>
      <c r="P139" s="40">
        <f>tbl_xbox[[#This Row],[Subscription Price]]+tbl_xbox[[#This Row],[EA Play Season Pass
Price]]+tbl_xbox[[#This Row],[Minecraft Season Pass Price]]</f>
        <v>30</v>
      </c>
      <c r="Q139" s="41">
        <f>VLOOKUP(tbl_xbox[[#This Row],[Plan]],tbl_apoio5[#All],2,FALSE)</f>
        <v>1</v>
      </c>
      <c r="R139" s="41">
        <f>VLOOKUP(tbl_xbox[[#This Row],[EA Play Season Pass]],tbl_apoio5[[EA Play Season Pass]:[output2]],2,FALSE)</f>
        <v>0</v>
      </c>
      <c r="S139" s="41">
        <f>VLOOKUP(tbl_xbox[[#This Row],[Minecraft Season Pass]],tbl_apoio5[[Minecraft Season Pass]:[Minecraft Season Pass2]],2,FALSE)</f>
        <v>6</v>
      </c>
      <c r="T139" s="41">
        <f>SUM(tbl_xbox[[#This Row],[Plan2]:[Minecraft Season Pass2]])</f>
        <v>7</v>
      </c>
      <c r="U139" s="40" t="str">
        <f>VLOOKUP(tbl_xbox[[#This Row],[soma]],tbl_apoio5[[#All],[soma]:[output2]],2,FALSE)</f>
        <v>Minecraft</v>
      </c>
      <c r="V139" s="7"/>
    </row>
    <row r="140" spans="1:22" ht="16.5" customHeight="1" x14ac:dyDescent="0.2">
      <c r="A140" s="4">
        <v>3369</v>
      </c>
      <c r="B140" s="4" t="s">
        <v>158</v>
      </c>
      <c r="C140" s="4" t="s">
        <v>14</v>
      </c>
      <c r="D140" s="6">
        <v>45486</v>
      </c>
      <c r="E140" s="4" t="s">
        <v>15</v>
      </c>
      <c r="F140" s="7">
        <v>5</v>
      </c>
      <c r="G140" s="4" t="s">
        <v>19</v>
      </c>
      <c r="H140" s="4" t="s">
        <v>15</v>
      </c>
      <c r="I140" s="7">
        <v>0</v>
      </c>
      <c r="J140" s="4" t="s">
        <v>15</v>
      </c>
      <c r="K140" s="7">
        <v>0</v>
      </c>
      <c r="L140" s="7">
        <v>1</v>
      </c>
      <c r="M140" s="7">
        <v>4</v>
      </c>
      <c r="N140" s="40" t="str">
        <f>IF(tbl_xbox[[#This Row],[Coupon Value]]=$L$3,"No","Yes")</f>
        <v>Yes</v>
      </c>
      <c r="O140" s="40" t="str">
        <f>IF(OR(tbl_xbox[[#This Row],[EA Play Season Pass]]="Yes",tbl_xbox[[#This Row],[Minecraft Season Pass]]="Yes"),"Yes","No")</f>
        <v>No</v>
      </c>
      <c r="P140" s="40">
        <f>tbl_xbox[[#This Row],[Subscription Price]]+tbl_xbox[[#This Row],[EA Play Season Pass
Price]]+tbl_xbox[[#This Row],[Minecraft Season Pass Price]]</f>
        <v>5</v>
      </c>
      <c r="Q140" s="41">
        <f>VLOOKUP(tbl_xbox[[#This Row],[Plan]],tbl_apoio5[#All],2,FALSE)</f>
        <v>0</v>
      </c>
      <c r="R140" s="41">
        <f>VLOOKUP(tbl_xbox[[#This Row],[EA Play Season Pass]],tbl_apoio5[[EA Play Season Pass]:[output2]],2,FALSE)</f>
        <v>0</v>
      </c>
      <c r="S140" s="41">
        <f>VLOOKUP(tbl_xbox[[#This Row],[Minecraft Season Pass]],tbl_apoio5[[Minecraft Season Pass]:[Minecraft Season Pass2]],2,FALSE)</f>
        <v>0</v>
      </c>
      <c r="T140" s="41">
        <f>SUM(tbl_xbox[[#This Row],[Plan2]:[Minecraft Season Pass2]])</f>
        <v>0</v>
      </c>
      <c r="U140" s="40" t="str">
        <f>VLOOKUP(tbl_xbox[[#This Row],[soma]],tbl_apoio5[[#All],[soma]:[output2]],2,FALSE)</f>
        <v>No Extras</v>
      </c>
      <c r="V140" s="7"/>
    </row>
    <row r="141" spans="1:22" ht="16.5" customHeight="1" x14ac:dyDescent="0.2">
      <c r="A141" s="4">
        <v>3370</v>
      </c>
      <c r="B141" s="4" t="s">
        <v>159</v>
      </c>
      <c r="C141" s="4" t="s">
        <v>10</v>
      </c>
      <c r="D141" s="6">
        <v>45487</v>
      </c>
      <c r="E141" s="4" t="s">
        <v>11</v>
      </c>
      <c r="F141" s="7">
        <v>15</v>
      </c>
      <c r="G141" s="4" t="s">
        <v>12</v>
      </c>
      <c r="H141" s="4" t="s">
        <v>11</v>
      </c>
      <c r="I141" s="7">
        <v>30</v>
      </c>
      <c r="J141" s="4" t="s">
        <v>11</v>
      </c>
      <c r="K141" s="7">
        <v>20</v>
      </c>
      <c r="L141" s="7">
        <v>15</v>
      </c>
      <c r="M141" s="7">
        <v>50</v>
      </c>
      <c r="N141" s="40" t="str">
        <f>IF(tbl_xbox[[#This Row],[Coupon Value]]=$L$3,"No","Yes")</f>
        <v>Yes</v>
      </c>
      <c r="O141" s="40" t="str">
        <f>IF(OR(tbl_xbox[[#This Row],[EA Play Season Pass]]="Yes",tbl_xbox[[#This Row],[Minecraft Season Pass]]="Yes"),"Yes","No")</f>
        <v>Yes</v>
      </c>
      <c r="P141" s="40">
        <f>tbl_xbox[[#This Row],[Subscription Price]]+tbl_xbox[[#This Row],[EA Play Season Pass
Price]]+tbl_xbox[[#This Row],[Minecraft Season Pass Price]]</f>
        <v>65</v>
      </c>
      <c r="Q141" s="41">
        <f>VLOOKUP(tbl_xbox[[#This Row],[Plan]],tbl_apoio5[#All],2,FALSE)</f>
        <v>2</v>
      </c>
      <c r="R141" s="41">
        <f>VLOOKUP(tbl_xbox[[#This Row],[EA Play Season Pass]],tbl_apoio5[[EA Play Season Pass]:[output2]],2,FALSE)</f>
        <v>3</v>
      </c>
      <c r="S141" s="41">
        <f>VLOOKUP(tbl_xbox[[#This Row],[Minecraft Season Pass]],tbl_apoio5[[Minecraft Season Pass]:[Minecraft Season Pass2]],2,FALSE)</f>
        <v>6</v>
      </c>
      <c r="T141" s="41">
        <f>SUM(tbl_xbox[[#This Row],[Plan2]:[Minecraft Season Pass2]])</f>
        <v>11</v>
      </c>
      <c r="U141" s="40" t="str">
        <f>VLOOKUP(tbl_xbox[[#This Row],[soma]],tbl_apoio5[[#All],[soma]:[output2]],2,FALSE)</f>
        <v>EA Play + Minecraft</v>
      </c>
      <c r="V141" s="7"/>
    </row>
    <row r="142" spans="1:22" ht="16.5" customHeight="1" x14ac:dyDescent="0.2">
      <c r="A142" s="4">
        <v>3371</v>
      </c>
      <c r="B142" s="4" t="s">
        <v>160</v>
      </c>
      <c r="C142" s="4" t="s">
        <v>18</v>
      </c>
      <c r="D142" s="6">
        <v>45488</v>
      </c>
      <c r="E142" s="4" t="s">
        <v>15</v>
      </c>
      <c r="F142" s="7">
        <v>10</v>
      </c>
      <c r="G142" s="4" t="s">
        <v>12</v>
      </c>
      <c r="H142" s="4" t="s">
        <v>15</v>
      </c>
      <c r="I142" s="7">
        <v>0</v>
      </c>
      <c r="J142" s="4" t="s">
        <v>11</v>
      </c>
      <c r="K142" s="7">
        <v>20</v>
      </c>
      <c r="L142" s="7">
        <v>5</v>
      </c>
      <c r="M142" s="7">
        <v>25</v>
      </c>
      <c r="N142" s="40" t="str">
        <f>IF(tbl_xbox[[#This Row],[Coupon Value]]=$L$3,"No","Yes")</f>
        <v>Yes</v>
      </c>
      <c r="O142" s="40" t="str">
        <f>IF(OR(tbl_xbox[[#This Row],[EA Play Season Pass]]="Yes",tbl_xbox[[#This Row],[Minecraft Season Pass]]="Yes"),"Yes","No")</f>
        <v>Yes</v>
      </c>
      <c r="P142" s="40">
        <f>tbl_xbox[[#This Row],[Subscription Price]]+tbl_xbox[[#This Row],[EA Play Season Pass
Price]]+tbl_xbox[[#This Row],[Minecraft Season Pass Price]]</f>
        <v>30</v>
      </c>
      <c r="Q142" s="41">
        <f>VLOOKUP(tbl_xbox[[#This Row],[Plan]],tbl_apoio5[#All],2,FALSE)</f>
        <v>1</v>
      </c>
      <c r="R142" s="41">
        <f>VLOOKUP(tbl_xbox[[#This Row],[EA Play Season Pass]],tbl_apoio5[[EA Play Season Pass]:[output2]],2,FALSE)</f>
        <v>0</v>
      </c>
      <c r="S142" s="41">
        <f>VLOOKUP(tbl_xbox[[#This Row],[Minecraft Season Pass]],tbl_apoio5[[Minecraft Season Pass]:[Minecraft Season Pass2]],2,FALSE)</f>
        <v>6</v>
      </c>
      <c r="T142" s="41">
        <f>SUM(tbl_xbox[[#This Row],[Plan2]:[Minecraft Season Pass2]])</f>
        <v>7</v>
      </c>
      <c r="U142" s="40" t="str">
        <f>VLOOKUP(tbl_xbox[[#This Row],[soma]],tbl_apoio5[[#All],[soma]:[output2]],2,FALSE)</f>
        <v>Minecraft</v>
      </c>
      <c r="V142" s="7"/>
    </row>
    <row r="143" spans="1:22" ht="16.5" customHeight="1" x14ac:dyDescent="0.2">
      <c r="A143" s="4">
        <v>3372</v>
      </c>
      <c r="B143" s="4" t="s">
        <v>161</v>
      </c>
      <c r="C143" s="4" t="s">
        <v>14</v>
      </c>
      <c r="D143" s="6">
        <v>45489</v>
      </c>
      <c r="E143" s="4" t="s">
        <v>11</v>
      </c>
      <c r="F143" s="7">
        <v>5</v>
      </c>
      <c r="G143" s="4" t="s">
        <v>16</v>
      </c>
      <c r="H143" s="4" t="s">
        <v>15</v>
      </c>
      <c r="I143" s="7">
        <v>0</v>
      </c>
      <c r="J143" s="4" t="s">
        <v>15</v>
      </c>
      <c r="K143" s="7">
        <v>0</v>
      </c>
      <c r="L143" s="7">
        <v>0</v>
      </c>
      <c r="M143" s="7">
        <v>5</v>
      </c>
      <c r="N143" s="40" t="str">
        <f>IF(tbl_xbox[[#This Row],[Coupon Value]]=$L$3,"No","Yes")</f>
        <v>No</v>
      </c>
      <c r="O143" s="40" t="str">
        <f>IF(OR(tbl_xbox[[#This Row],[EA Play Season Pass]]="Yes",tbl_xbox[[#This Row],[Minecraft Season Pass]]="Yes"),"Yes","No")</f>
        <v>No</v>
      </c>
      <c r="P143" s="40">
        <f>tbl_xbox[[#This Row],[Subscription Price]]+tbl_xbox[[#This Row],[EA Play Season Pass
Price]]+tbl_xbox[[#This Row],[Minecraft Season Pass Price]]</f>
        <v>5</v>
      </c>
      <c r="Q143" s="41">
        <f>VLOOKUP(tbl_xbox[[#This Row],[Plan]],tbl_apoio5[#All],2,FALSE)</f>
        <v>0</v>
      </c>
      <c r="R143" s="41">
        <f>VLOOKUP(tbl_xbox[[#This Row],[EA Play Season Pass]],tbl_apoio5[[EA Play Season Pass]:[output2]],2,FALSE)</f>
        <v>0</v>
      </c>
      <c r="S143" s="41">
        <f>VLOOKUP(tbl_xbox[[#This Row],[Minecraft Season Pass]],tbl_apoio5[[Minecraft Season Pass]:[Minecraft Season Pass2]],2,FALSE)</f>
        <v>0</v>
      </c>
      <c r="T143" s="41">
        <f>SUM(tbl_xbox[[#This Row],[Plan2]:[Minecraft Season Pass2]])</f>
        <v>0</v>
      </c>
      <c r="U143" s="40" t="str">
        <f>VLOOKUP(tbl_xbox[[#This Row],[soma]],tbl_apoio5[[#All],[soma]:[output2]],2,FALSE)</f>
        <v>No Extras</v>
      </c>
      <c r="V143" s="7"/>
    </row>
    <row r="144" spans="1:22" ht="16.5" customHeight="1" x14ac:dyDescent="0.2">
      <c r="A144" s="4">
        <v>3373</v>
      </c>
      <c r="B144" s="4" t="s">
        <v>162</v>
      </c>
      <c r="C144" s="4" t="s">
        <v>10</v>
      </c>
      <c r="D144" s="6">
        <v>45490</v>
      </c>
      <c r="E144" s="4" t="s">
        <v>15</v>
      </c>
      <c r="F144" s="7">
        <v>15</v>
      </c>
      <c r="G144" s="4" t="s">
        <v>19</v>
      </c>
      <c r="H144" s="4" t="s">
        <v>11</v>
      </c>
      <c r="I144" s="7">
        <v>30</v>
      </c>
      <c r="J144" s="4" t="s">
        <v>11</v>
      </c>
      <c r="K144" s="7">
        <v>20</v>
      </c>
      <c r="L144" s="7">
        <v>20</v>
      </c>
      <c r="M144" s="7">
        <v>45</v>
      </c>
      <c r="N144" s="40" t="str">
        <f>IF(tbl_xbox[[#This Row],[Coupon Value]]=$L$3,"No","Yes")</f>
        <v>Yes</v>
      </c>
      <c r="O144" s="40" t="str">
        <f>IF(OR(tbl_xbox[[#This Row],[EA Play Season Pass]]="Yes",tbl_xbox[[#This Row],[Minecraft Season Pass]]="Yes"),"Yes","No")</f>
        <v>Yes</v>
      </c>
      <c r="P144" s="40">
        <f>tbl_xbox[[#This Row],[Subscription Price]]+tbl_xbox[[#This Row],[EA Play Season Pass
Price]]+tbl_xbox[[#This Row],[Minecraft Season Pass Price]]</f>
        <v>65</v>
      </c>
      <c r="Q144" s="41">
        <f>VLOOKUP(tbl_xbox[[#This Row],[Plan]],tbl_apoio5[#All],2,FALSE)</f>
        <v>2</v>
      </c>
      <c r="R144" s="41">
        <f>VLOOKUP(tbl_xbox[[#This Row],[EA Play Season Pass]],tbl_apoio5[[EA Play Season Pass]:[output2]],2,FALSE)</f>
        <v>3</v>
      </c>
      <c r="S144" s="41">
        <f>VLOOKUP(tbl_xbox[[#This Row],[Minecraft Season Pass]],tbl_apoio5[[Minecraft Season Pass]:[Minecraft Season Pass2]],2,FALSE)</f>
        <v>6</v>
      </c>
      <c r="T144" s="41">
        <f>SUM(tbl_xbox[[#This Row],[Plan2]:[Minecraft Season Pass2]])</f>
        <v>11</v>
      </c>
      <c r="U144" s="40" t="str">
        <f>VLOOKUP(tbl_xbox[[#This Row],[soma]],tbl_apoio5[[#All],[soma]:[output2]],2,FALSE)</f>
        <v>EA Play + Minecraft</v>
      </c>
      <c r="V144" s="7"/>
    </row>
    <row r="145" spans="1:22" ht="16.5" customHeight="1" x14ac:dyDescent="0.2">
      <c r="A145" s="4">
        <v>3374</v>
      </c>
      <c r="B145" s="4" t="s">
        <v>163</v>
      </c>
      <c r="C145" s="4" t="s">
        <v>18</v>
      </c>
      <c r="D145" s="6">
        <v>45491</v>
      </c>
      <c r="E145" s="4" t="s">
        <v>11</v>
      </c>
      <c r="F145" s="7">
        <v>10</v>
      </c>
      <c r="G145" s="4" t="s">
        <v>19</v>
      </c>
      <c r="H145" s="4" t="s">
        <v>15</v>
      </c>
      <c r="I145" s="7">
        <v>0</v>
      </c>
      <c r="J145" s="4" t="s">
        <v>11</v>
      </c>
      <c r="K145" s="7">
        <v>20</v>
      </c>
      <c r="L145" s="7">
        <v>12</v>
      </c>
      <c r="M145" s="7">
        <v>18</v>
      </c>
      <c r="N145" s="40" t="str">
        <f>IF(tbl_xbox[[#This Row],[Coupon Value]]=$L$3,"No","Yes")</f>
        <v>Yes</v>
      </c>
      <c r="O145" s="40" t="str">
        <f>IF(OR(tbl_xbox[[#This Row],[EA Play Season Pass]]="Yes",tbl_xbox[[#This Row],[Minecraft Season Pass]]="Yes"),"Yes","No")</f>
        <v>Yes</v>
      </c>
      <c r="P145" s="40">
        <f>tbl_xbox[[#This Row],[Subscription Price]]+tbl_xbox[[#This Row],[EA Play Season Pass
Price]]+tbl_xbox[[#This Row],[Minecraft Season Pass Price]]</f>
        <v>30</v>
      </c>
      <c r="Q145" s="41">
        <f>VLOOKUP(tbl_xbox[[#This Row],[Plan]],tbl_apoio5[#All],2,FALSE)</f>
        <v>1</v>
      </c>
      <c r="R145" s="41">
        <f>VLOOKUP(tbl_xbox[[#This Row],[EA Play Season Pass]],tbl_apoio5[[EA Play Season Pass]:[output2]],2,FALSE)</f>
        <v>0</v>
      </c>
      <c r="S145" s="41">
        <f>VLOOKUP(tbl_xbox[[#This Row],[Minecraft Season Pass]],tbl_apoio5[[Minecraft Season Pass]:[Minecraft Season Pass2]],2,FALSE)</f>
        <v>6</v>
      </c>
      <c r="T145" s="41">
        <f>SUM(tbl_xbox[[#This Row],[Plan2]:[Minecraft Season Pass2]])</f>
        <v>7</v>
      </c>
      <c r="U145" s="40" t="str">
        <f>VLOOKUP(tbl_xbox[[#This Row],[soma]],tbl_apoio5[[#All],[soma]:[output2]],2,FALSE)</f>
        <v>Minecraft</v>
      </c>
      <c r="V145" s="7"/>
    </row>
    <row r="146" spans="1:22" ht="16.5" customHeight="1" x14ac:dyDescent="0.2">
      <c r="A146" s="4">
        <v>3375</v>
      </c>
      <c r="B146" s="4" t="s">
        <v>164</v>
      </c>
      <c r="C146" s="4" t="s">
        <v>14</v>
      </c>
      <c r="D146" s="6">
        <v>45492</v>
      </c>
      <c r="E146" s="4" t="s">
        <v>15</v>
      </c>
      <c r="F146" s="7">
        <v>5</v>
      </c>
      <c r="G146" s="4" t="s">
        <v>12</v>
      </c>
      <c r="H146" s="4" t="s">
        <v>15</v>
      </c>
      <c r="I146" s="7">
        <v>0</v>
      </c>
      <c r="J146" s="4" t="s">
        <v>15</v>
      </c>
      <c r="K146" s="7">
        <v>0</v>
      </c>
      <c r="L146" s="7">
        <v>2</v>
      </c>
      <c r="M146" s="7">
        <v>3</v>
      </c>
      <c r="N146" s="40" t="str">
        <f>IF(tbl_xbox[[#This Row],[Coupon Value]]=$L$3,"No","Yes")</f>
        <v>Yes</v>
      </c>
      <c r="O146" s="40" t="str">
        <f>IF(OR(tbl_xbox[[#This Row],[EA Play Season Pass]]="Yes",tbl_xbox[[#This Row],[Minecraft Season Pass]]="Yes"),"Yes","No")</f>
        <v>No</v>
      </c>
      <c r="P146" s="40">
        <f>tbl_xbox[[#This Row],[Subscription Price]]+tbl_xbox[[#This Row],[EA Play Season Pass
Price]]+tbl_xbox[[#This Row],[Minecraft Season Pass Price]]</f>
        <v>5</v>
      </c>
      <c r="Q146" s="41">
        <f>VLOOKUP(tbl_xbox[[#This Row],[Plan]],tbl_apoio5[#All],2,FALSE)</f>
        <v>0</v>
      </c>
      <c r="R146" s="41">
        <f>VLOOKUP(tbl_xbox[[#This Row],[EA Play Season Pass]],tbl_apoio5[[EA Play Season Pass]:[output2]],2,FALSE)</f>
        <v>0</v>
      </c>
      <c r="S146" s="41">
        <f>VLOOKUP(tbl_xbox[[#This Row],[Minecraft Season Pass]],tbl_apoio5[[Minecraft Season Pass]:[Minecraft Season Pass2]],2,FALSE)</f>
        <v>0</v>
      </c>
      <c r="T146" s="41">
        <f>SUM(tbl_xbox[[#This Row],[Plan2]:[Minecraft Season Pass2]])</f>
        <v>0</v>
      </c>
      <c r="U146" s="40" t="str">
        <f>VLOOKUP(tbl_xbox[[#This Row],[soma]],tbl_apoio5[[#All],[soma]:[output2]],2,FALSE)</f>
        <v>No Extras</v>
      </c>
      <c r="V146" s="7"/>
    </row>
    <row r="147" spans="1:22" ht="16.5" customHeight="1" x14ac:dyDescent="0.2">
      <c r="A147" s="4">
        <v>3376</v>
      </c>
      <c r="B147" s="4" t="s">
        <v>165</v>
      </c>
      <c r="C147" s="4" t="s">
        <v>10</v>
      </c>
      <c r="D147" s="6">
        <v>45493</v>
      </c>
      <c r="E147" s="4" t="s">
        <v>11</v>
      </c>
      <c r="F147" s="7">
        <v>15</v>
      </c>
      <c r="G147" s="4" t="s">
        <v>16</v>
      </c>
      <c r="H147" s="4" t="s">
        <v>11</v>
      </c>
      <c r="I147" s="7">
        <v>30</v>
      </c>
      <c r="J147" s="4" t="s">
        <v>11</v>
      </c>
      <c r="K147" s="7">
        <v>20</v>
      </c>
      <c r="L147" s="7">
        <v>5</v>
      </c>
      <c r="M147" s="7">
        <v>60</v>
      </c>
      <c r="N147" s="40" t="str">
        <f>IF(tbl_xbox[[#This Row],[Coupon Value]]=$L$3,"No","Yes")</f>
        <v>Yes</v>
      </c>
      <c r="O147" s="40" t="str">
        <f>IF(OR(tbl_xbox[[#This Row],[EA Play Season Pass]]="Yes",tbl_xbox[[#This Row],[Minecraft Season Pass]]="Yes"),"Yes","No")</f>
        <v>Yes</v>
      </c>
      <c r="P147" s="40">
        <f>tbl_xbox[[#This Row],[Subscription Price]]+tbl_xbox[[#This Row],[EA Play Season Pass
Price]]+tbl_xbox[[#This Row],[Minecraft Season Pass Price]]</f>
        <v>65</v>
      </c>
      <c r="Q147" s="41">
        <f>VLOOKUP(tbl_xbox[[#This Row],[Plan]],tbl_apoio5[#All],2,FALSE)</f>
        <v>2</v>
      </c>
      <c r="R147" s="41">
        <f>VLOOKUP(tbl_xbox[[#This Row],[EA Play Season Pass]],tbl_apoio5[[EA Play Season Pass]:[output2]],2,FALSE)</f>
        <v>3</v>
      </c>
      <c r="S147" s="41">
        <f>VLOOKUP(tbl_xbox[[#This Row],[Minecraft Season Pass]],tbl_apoio5[[Minecraft Season Pass]:[Minecraft Season Pass2]],2,FALSE)</f>
        <v>6</v>
      </c>
      <c r="T147" s="41">
        <f>SUM(tbl_xbox[[#This Row],[Plan2]:[Minecraft Season Pass2]])</f>
        <v>11</v>
      </c>
      <c r="U147" s="40" t="str">
        <f>VLOOKUP(tbl_xbox[[#This Row],[soma]],tbl_apoio5[[#All],[soma]:[output2]],2,FALSE)</f>
        <v>EA Play + Minecraft</v>
      </c>
      <c r="V147" s="7"/>
    </row>
    <row r="148" spans="1:22" ht="16.5" customHeight="1" x14ac:dyDescent="0.2">
      <c r="A148" s="4">
        <v>3377</v>
      </c>
      <c r="B148" s="4" t="s">
        <v>166</v>
      </c>
      <c r="C148" s="4" t="s">
        <v>18</v>
      </c>
      <c r="D148" s="6">
        <v>45494</v>
      </c>
      <c r="E148" s="4" t="s">
        <v>15</v>
      </c>
      <c r="F148" s="7">
        <v>10</v>
      </c>
      <c r="G148" s="4" t="s">
        <v>12</v>
      </c>
      <c r="H148" s="4" t="s">
        <v>15</v>
      </c>
      <c r="I148" s="7">
        <v>0</v>
      </c>
      <c r="J148" s="4" t="s">
        <v>11</v>
      </c>
      <c r="K148" s="7">
        <v>20</v>
      </c>
      <c r="L148" s="7">
        <v>10</v>
      </c>
      <c r="M148" s="7">
        <v>20</v>
      </c>
      <c r="N148" s="40" t="str">
        <f>IF(tbl_xbox[[#This Row],[Coupon Value]]=$L$3,"No","Yes")</f>
        <v>Yes</v>
      </c>
      <c r="O148" s="40" t="str">
        <f>IF(OR(tbl_xbox[[#This Row],[EA Play Season Pass]]="Yes",tbl_xbox[[#This Row],[Minecraft Season Pass]]="Yes"),"Yes","No")</f>
        <v>Yes</v>
      </c>
      <c r="P148" s="40">
        <f>tbl_xbox[[#This Row],[Subscription Price]]+tbl_xbox[[#This Row],[EA Play Season Pass
Price]]+tbl_xbox[[#This Row],[Minecraft Season Pass Price]]</f>
        <v>30</v>
      </c>
      <c r="Q148" s="41">
        <f>VLOOKUP(tbl_xbox[[#This Row],[Plan]],tbl_apoio5[#All],2,FALSE)</f>
        <v>1</v>
      </c>
      <c r="R148" s="41">
        <f>VLOOKUP(tbl_xbox[[#This Row],[EA Play Season Pass]],tbl_apoio5[[EA Play Season Pass]:[output2]],2,FALSE)</f>
        <v>0</v>
      </c>
      <c r="S148" s="41">
        <f>VLOOKUP(tbl_xbox[[#This Row],[Minecraft Season Pass]],tbl_apoio5[[Minecraft Season Pass]:[Minecraft Season Pass2]],2,FALSE)</f>
        <v>6</v>
      </c>
      <c r="T148" s="41">
        <f>SUM(tbl_xbox[[#This Row],[Plan2]:[Minecraft Season Pass2]])</f>
        <v>7</v>
      </c>
      <c r="U148" s="40" t="str">
        <f>VLOOKUP(tbl_xbox[[#This Row],[soma]],tbl_apoio5[[#All],[soma]:[output2]],2,FALSE)</f>
        <v>Minecraft</v>
      </c>
      <c r="V148" s="7"/>
    </row>
    <row r="149" spans="1:22" ht="16.5" customHeight="1" x14ac:dyDescent="0.2">
      <c r="A149" s="4">
        <v>3378</v>
      </c>
      <c r="B149" s="4" t="s">
        <v>167</v>
      </c>
      <c r="C149" s="4" t="s">
        <v>14</v>
      </c>
      <c r="D149" s="6">
        <v>45495</v>
      </c>
      <c r="E149" s="4" t="s">
        <v>11</v>
      </c>
      <c r="F149" s="7">
        <v>5</v>
      </c>
      <c r="G149" s="4" t="s">
        <v>19</v>
      </c>
      <c r="H149" s="4" t="s">
        <v>15</v>
      </c>
      <c r="I149" s="7">
        <v>0</v>
      </c>
      <c r="J149" s="4" t="s">
        <v>15</v>
      </c>
      <c r="K149" s="7">
        <v>0</v>
      </c>
      <c r="L149" s="7">
        <v>0</v>
      </c>
      <c r="M149" s="7">
        <v>5</v>
      </c>
      <c r="N149" s="40" t="str">
        <f>IF(tbl_xbox[[#This Row],[Coupon Value]]=$L$3,"No","Yes")</f>
        <v>No</v>
      </c>
      <c r="O149" s="40" t="str">
        <f>IF(OR(tbl_xbox[[#This Row],[EA Play Season Pass]]="Yes",tbl_xbox[[#This Row],[Minecraft Season Pass]]="Yes"),"Yes","No")</f>
        <v>No</v>
      </c>
      <c r="P149" s="40">
        <f>tbl_xbox[[#This Row],[Subscription Price]]+tbl_xbox[[#This Row],[EA Play Season Pass
Price]]+tbl_xbox[[#This Row],[Minecraft Season Pass Price]]</f>
        <v>5</v>
      </c>
      <c r="Q149" s="41">
        <f>VLOOKUP(tbl_xbox[[#This Row],[Plan]],tbl_apoio5[#All],2,FALSE)</f>
        <v>0</v>
      </c>
      <c r="R149" s="41">
        <f>VLOOKUP(tbl_xbox[[#This Row],[EA Play Season Pass]],tbl_apoio5[[EA Play Season Pass]:[output2]],2,FALSE)</f>
        <v>0</v>
      </c>
      <c r="S149" s="41">
        <f>VLOOKUP(tbl_xbox[[#This Row],[Minecraft Season Pass]],tbl_apoio5[[Minecraft Season Pass]:[Minecraft Season Pass2]],2,FALSE)</f>
        <v>0</v>
      </c>
      <c r="T149" s="41">
        <f>SUM(tbl_xbox[[#This Row],[Plan2]:[Minecraft Season Pass2]])</f>
        <v>0</v>
      </c>
      <c r="U149" s="40" t="str">
        <f>VLOOKUP(tbl_xbox[[#This Row],[soma]],tbl_apoio5[[#All],[soma]:[output2]],2,FALSE)</f>
        <v>No Extras</v>
      </c>
      <c r="V149" s="7"/>
    </row>
    <row r="150" spans="1:22" ht="16.5" customHeight="1" x14ac:dyDescent="0.2">
      <c r="A150" s="4">
        <v>3379</v>
      </c>
      <c r="B150" s="4" t="s">
        <v>168</v>
      </c>
      <c r="C150" s="4" t="s">
        <v>10</v>
      </c>
      <c r="D150" s="6">
        <v>45496</v>
      </c>
      <c r="E150" s="4" t="s">
        <v>15</v>
      </c>
      <c r="F150" s="7">
        <v>15</v>
      </c>
      <c r="G150" s="4" t="s">
        <v>12</v>
      </c>
      <c r="H150" s="4" t="s">
        <v>11</v>
      </c>
      <c r="I150" s="7">
        <v>30</v>
      </c>
      <c r="J150" s="4" t="s">
        <v>11</v>
      </c>
      <c r="K150" s="7">
        <v>20</v>
      </c>
      <c r="L150" s="7">
        <v>3</v>
      </c>
      <c r="M150" s="7">
        <v>62</v>
      </c>
      <c r="N150" s="40" t="str">
        <f>IF(tbl_xbox[[#This Row],[Coupon Value]]=$L$3,"No","Yes")</f>
        <v>Yes</v>
      </c>
      <c r="O150" s="40" t="str">
        <f>IF(OR(tbl_xbox[[#This Row],[EA Play Season Pass]]="Yes",tbl_xbox[[#This Row],[Minecraft Season Pass]]="Yes"),"Yes","No")</f>
        <v>Yes</v>
      </c>
      <c r="P150" s="40">
        <f>tbl_xbox[[#This Row],[Subscription Price]]+tbl_xbox[[#This Row],[EA Play Season Pass
Price]]+tbl_xbox[[#This Row],[Minecraft Season Pass Price]]</f>
        <v>65</v>
      </c>
      <c r="Q150" s="41">
        <f>VLOOKUP(tbl_xbox[[#This Row],[Plan]],tbl_apoio5[#All],2,FALSE)</f>
        <v>2</v>
      </c>
      <c r="R150" s="41">
        <f>VLOOKUP(tbl_xbox[[#This Row],[EA Play Season Pass]],tbl_apoio5[[EA Play Season Pass]:[output2]],2,FALSE)</f>
        <v>3</v>
      </c>
      <c r="S150" s="41">
        <f>VLOOKUP(tbl_xbox[[#This Row],[Minecraft Season Pass]],tbl_apoio5[[Minecraft Season Pass]:[Minecraft Season Pass2]],2,FALSE)</f>
        <v>6</v>
      </c>
      <c r="T150" s="41">
        <f>SUM(tbl_xbox[[#This Row],[Plan2]:[Minecraft Season Pass2]])</f>
        <v>11</v>
      </c>
      <c r="U150" s="40" t="str">
        <f>VLOOKUP(tbl_xbox[[#This Row],[soma]],tbl_apoio5[[#All],[soma]:[output2]],2,FALSE)</f>
        <v>EA Play + Minecraft</v>
      </c>
      <c r="V150" s="7"/>
    </row>
    <row r="151" spans="1:22" ht="16.5" customHeight="1" x14ac:dyDescent="0.2">
      <c r="A151" s="4">
        <v>3380</v>
      </c>
      <c r="B151" s="4" t="s">
        <v>169</v>
      </c>
      <c r="C151" s="4" t="s">
        <v>18</v>
      </c>
      <c r="D151" s="6">
        <v>45497</v>
      </c>
      <c r="E151" s="4" t="s">
        <v>11</v>
      </c>
      <c r="F151" s="7">
        <v>10</v>
      </c>
      <c r="G151" s="4" t="s">
        <v>16</v>
      </c>
      <c r="H151" s="4" t="s">
        <v>15</v>
      </c>
      <c r="I151" s="7">
        <v>0</v>
      </c>
      <c r="J151" s="4" t="s">
        <v>11</v>
      </c>
      <c r="K151" s="7">
        <v>20</v>
      </c>
      <c r="L151" s="7">
        <v>15</v>
      </c>
      <c r="M151" s="7">
        <v>15</v>
      </c>
      <c r="N151" s="40" t="str">
        <f>IF(tbl_xbox[[#This Row],[Coupon Value]]=$L$3,"No","Yes")</f>
        <v>Yes</v>
      </c>
      <c r="O151" s="40" t="str">
        <f>IF(OR(tbl_xbox[[#This Row],[EA Play Season Pass]]="Yes",tbl_xbox[[#This Row],[Minecraft Season Pass]]="Yes"),"Yes","No")</f>
        <v>Yes</v>
      </c>
      <c r="P151" s="40">
        <f>tbl_xbox[[#This Row],[Subscription Price]]+tbl_xbox[[#This Row],[EA Play Season Pass
Price]]+tbl_xbox[[#This Row],[Minecraft Season Pass Price]]</f>
        <v>30</v>
      </c>
      <c r="Q151" s="41">
        <f>VLOOKUP(tbl_xbox[[#This Row],[Plan]],tbl_apoio5[#All],2,FALSE)</f>
        <v>1</v>
      </c>
      <c r="R151" s="41">
        <f>VLOOKUP(tbl_xbox[[#This Row],[EA Play Season Pass]],tbl_apoio5[[EA Play Season Pass]:[output2]],2,FALSE)</f>
        <v>0</v>
      </c>
      <c r="S151" s="41">
        <f>VLOOKUP(tbl_xbox[[#This Row],[Minecraft Season Pass]],tbl_apoio5[[Minecraft Season Pass]:[Minecraft Season Pass2]],2,FALSE)</f>
        <v>6</v>
      </c>
      <c r="T151" s="41">
        <f>SUM(tbl_xbox[[#This Row],[Plan2]:[Minecraft Season Pass2]])</f>
        <v>7</v>
      </c>
      <c r="U151" s="40" t="str">
        <f>VLOOKUP(tbl_xbox[[#This Row],[soma]],tbl_apoio5[[#All],[soma]:[output2]],2,FALSE)</f>
        <v>Minecraft</v>
      </c>
      <c r="V151" s="7"/>
    </row>
    <row r="152" spans="1:22" ht="16.5" customHeight="1" x14ac:dyDescent="0.2">
      <c r="A152" s="4">
        <v>3381</v>
      </c>
      <c r="B152" s="4" t="s">
        <v>170</v>
      </c>
      <c r="C152" s="4" t="s">
        <v>14</v>
      </c>
      <c r="D152" s="6">
        <v>45498</v>
      </c>
      <c r="E152" s="4" t="s">
        <v>15</v>
      </c>
      <c r="F152" s="7">
        <v>5</v>
      </c>
      <c r="G152" s="4" t="s">
        <v>12</v>
      </c>
      <c r="H152" s="4" t="s">
        <v>15</v>
      </c>
      <c r="I152" s="7">
        <v>0</v>
      </c>
      <c r="J152" s="4" t="s">
        <v>15</v>
      </c>
      <c r="K152" s="7">
        <v>0</v>
      </c>
      <c r="L152" s="7">
        <v>1</v>
      </c>
      <c r="M152" s="7">
        <v>4</v>
      </c>
      <c r="N152" s="40" t="str">
        <f>IF(tbl_xbox[[#This Row],[Coupon Value]]=$L$3,"No","Yes")</f>
        <v>Yes</v>
      </c>
      <c r="O152" s="40" t="str">
        <f>IF(OR(tbl_xbox[[#This Row],[EA Play Season Pass]]="Yes",tbl_xbox[[#This Row],[Minecraft Season Pass]]="Yes"),"Yes","No")</f>
        <v>No</v>
      </c>
      <c r="P152" s="40">
        <f>tbl_xbox[[#This Row],[Subscription Price]]+tbl_xbox[[#This Row],[EA Play Season Pass
Price]]+tbl_xbox[[#This Row],[Minecraft Season Pass Price]]</f>
        <v>5</v>
      </c>
      <c r="Q152" s="41">
        <f>VLOOKUP(tbl_xbox[[#This Row],[Plan]],tbl_apoio5[#All],2,FALSE)</f>
        <v>0</v>
      </c>
      <c r="R152" s="41">
        <f>VLOOKUP(tbl_xbox[[#This Row],[EA Play Season Pass]],tbl_apoio5[[EA Play Season Pass]:[output2]],2,FALSE)</f>
        <v>0</v>
      </c>
      <c r="S152" s="41">
        <f>VLOOKUP(tbl_xbox[[#This Row],[Minecraft Season Pass]],tbl_apoio5[[Minecraft Season Pass]:[Minecraft Season Pass2]],2,FALSE)</f>
        <v>0</v>
      </c>
      <c r="T152" s="41">
        <f>SUM(tbl_xbox[[#This Row],[Plan2]:[Minecraft Season Pass2]])</f>
        <v>0</v>
      </c>
      <c r="U152" s="40" t="str">
        <f>VLOOKUP(tbl_xbox[[#This Row],[soma]],tbl_apoio5[[#All],[soma]:[output2]],2,FALSE)</f>
        <v>No Extras</v>
      </c>
      <c r="V152" s="7"/>
    </row>
    <row r="153" spans="1:22" ht="16.5" customHeight="1" x14ac:dyDescent="0.2">
      <c r="A153" s="4">
        <v>3382</v>
      </c>
      <c r="B153" s="4" t="s">
        <v>171</v>
      </c>
      <c r="C153" s="4" t="s">
        <v>10</v>
      </c>
      <c r="D153" s="6">
        <v>45499</v>
      </c>
      <c r="E153" s="4" t="s">
        <v>11</v>
      </c>
      <c r="F153" s="7">
        <v>15</v>
      </c>
      <c r="G153" s="4" t="s">
        <v>19</v>
      </c>
      <c r="H153" s="4" t="s">
        <v>11</v>
      </c>
      <c r="I153" s="7">
        <v>30</v>
      </c>
      <c r="J153" s="4" t="s">
        <v>11</v>
      </c>
      <c r="K153" s="7">
        <v>20</v>
      </c>
      <c r="L153" s="7">
        <v>7</v>
      </c>
      <c r="M153" s="7">
        <v>58</v>
      </c>
      <c r="N153" s="40" t="str">
        <f>IF(tbl_xbox[[#This Row],[Coupon Value]]=$L$3,"No","Yes")</f>
        <v>Yes</v>
      </c>
      <c r="O153" s="40" t="str">
        <f>IF(OR(tbl_xbox[[#This Row],[EA Play Season Pass]]="Yes",tbl_xbox[[#This Row],[Minecraft Season Pass]]="Yes"),"Yes","No")</f>
        <v>Yes</v>
      </c>
      <c r="P153" s="40">
        <f>tbl_xbox[[#This Row],[Subscription Price]]+tbl_xbox[[#This Row],[EA Play Season Pass
Price]]+tbl_xbox[[#This Row],[Minecraft Season Pass Price]]</f>
        <v>65</v>
      </c>
      <c r="Q153" s="41">
        <f>VLOOKUP(tbl_xbox[[#This Row],[Plan]],tbl_apoio5[#All],2,FALSE)</f>
        <v>2</v>
      </c>
      <c r="R153" s="41">
        <f>VLOOKUP(tbl_xbox[[#This Row],[EA Play Season Pass]],tbl_apoio5[[EA Play Season Pass]:[output2]],2,FALSE)</f>
        <v>3</v>
      </c>
      <c r="S153" s="41">
        <f>VLOOKUP(tbl_xbox[[#This Row],[Minecraft Season Pass]],tbl_apoio5[[Minecraft Season Pass]:[Minecraft Season Pass2]],2,FALSE)</f>
        <v>6</v>
      </c>
      <c r="T153" s="41">
        <f>SUM(tbl_xbox[[#This Row],[Plan2]:[Minecraft Season Pass2]])</f>
        <v>11</v>
      </c>
      <c r="U153" s="40" t="str">
        <f>VLOOKUP(tbl_xbox[[#This Row],[soma]],tbl_apoio5[[#All],[soma]:[output2]],2,FALSE)</f>
        <v>EA Play + Minecraft</v>
      </c>
      <c r="V153" s="7"/>
    </row>
    <row r="154" spans="1:22" ht="16.5" customHeight="1" x14ac:dyDescent="0.2">
      <c r="A154" s="4">
        <v>3383</v>
      </c>
      <c r="B154" s="4" t="s">
        <v>172</v>
      </c>
      <c r="C154" s="4" t="s">
        <v>18</v>
      </c>
      <c r="D154" s="6">
        <v>45500</v>
      </c>
      <c r="E154" s="4" t="s">
        <v>15</v>
      </c>
      <c r="F154" s="7">
        <v>10</v>
      </c>
      <c r="G154" s="4" t="s">
        <v>12</v>
      </c>
      <c r="H154" s="4" t="s">
        <v>15</v>
      </c>
      <c r="I154" s="7">
        <v>0</v>
      </c>
      <c r="J154" s="4" t="s">
        <v>11</v>
      </c>
      <c r="K154" s="7">
        <v>20</v>
      </c>
      <c r="L154" s="7">
        <v>10</v>
      </c>
      <c r="M154" s="7">
        <v>20</v>
      </c>
      <c r="N154" s="40" t="str">
        <f>IF(tbl_xbox[[#This Row],[Coupon Value]]=$L$3,"No","Yes")</f>
        <v>Yes</v>
      </c>
      <c r="O154" s="40" t="str">
        <f>IF(OR(tbl_xbox[[#This Row],[EA Play Season Pass]]="Yes",tbl_xbox[[#This Row],[Minecraft Season Pass]]="Yes"),"Yes","No")</f>
        <v>Yes</v>
      </c>
      <c r="P154" s="40">
        <f>tbl_xbox[[#This Row],[Subscription Price]]+tbl_xbox[[#This Row],[EA Play Season Pass
Price]]+tbl_xbox[[#This Row],[Minecraft Season Pass Price]]</f>
        <v>30</v>
      </c>
      <c r="Q154" s="41">
        <f>VLOOKUP(tbl_xbox[[#This Row],[Plan]],tbl_apoio5[#All],2,FALSE)</f>
        <v>1</v>
      </c>
      <c r="R154" s="41">
        <f>VLOOKUP(tbl_xbox[[#This Row],[EA Play Season Pass]],tbl_apoio5[[EA Play Season Pass]:[output2]],2,FALSE)</f>
        <v>0</v>
      </c>
      <c r="S154" s="41">
        <f>VLOOKUP(tbl_xbox[[#This Row],[Minecraft Season Pass]],tbl_apoio5[[Minecraft Season Pass]:[Minecraft Season Pass2]],2,FALSE)</f>
        <v>6</v>
      </c>
      <c r="T154" s="41">
        <f>SUM(tbl_xbox[[#This Row],[Plan2]:[Minecraft Season Pass2]])</f>
        <v>7</v>
      </c>
      <c r="U154" s="40" t="str">
        <f>VLOOKUP(tbl_xbox[[#This Row],[soma]],tbl_apoio5[[#All],[soma]:[output2]],2,FALSE)</f>
        <v>Minecraft</v>
      </c>
      <c r="V154" s="7"/>
    </row>
    <row r="155" spans="1:22" ht="16.5" customHeight="1" x14ac:dyDescent="0.2">
      <c r="A155" s="4">
        <v>3384</v>
      </c>
      <c r="B155" s="4" t="s">
        <v>173</v>
      </c>
      <c r="C155" s="4" t="s">
        <v>14</v>
      </c>
      <c r="D155" s="6">
        <v>45501</v>
      </c>
      <c r="E155" s="4" t="s">
        <v>11</v>
      </c>
      <c r="F155" s="7">
        <v>5</v>
      </c>
      <c r="G155" s="4" t="s">
        <v>16</v>
      </c>
      <c r="H155" s="4" t="s">
        <v>15</v>
      </c>
      <c r="I155" s="7">
        <v>0</v>
      </c>
      <c r="J155" s="4" t="s">
        <v>15</v>
      </c>
      <c r="K155" s="7">
        <v>0</v>
      </c>
      <c r="L155" s="7">
        <v>0</v>
      </c>
      <c r="M155" s="7">
        <v>5</v>
      </c>
      <c r="N155" s="40" t="str">
        <f>IF(tbl_xbox[[#This Row],[Coupon Value]]=$L$3,"No","Yes")</f>
        <v>No</v>
      </c>
      <c r="O155" s="40" t="str">
        <f>IF(OR(tbl_xbox[[#This Row],[EA Play Season Pass]]="Yes",tbl_xbox[[#This Row],[Minecraft Season Pass]]="Yes"),"Yes","No")</f>
        <v>No</v>
      </c>
      <c r="P155" s="40">
        <f>tbl_xbox[[#This Row],[Subscription Price]]+tbl_xbox[[#This Row],[EA Play Season Pass
Price]]+tbl_xbox[[#This Row],[Minecraft Season Pass Price]]</f>
        <v>5</v>
      </c>
      <c r="Q155" s="41">
        <f>VLOOKUP(tbl_xbox[[#This Row],[Plan]],tbl_apoio5[#All],2,FALSE)</f>
        <v>0</v>
      </c>
      <c r="R155" s="41">
        <f>VLOOKUP(tbl_xbox[[#This Row],[EA Play Season Pass]],tbl_apoio5[[EA Play Season Pass]:[output2]],2,FALSE)</f>
        <v>0</v>
      </c>
      <c r="S155" s="41">
        <f>VLOOKUP(tbl_xbox[[#This Row],[Minecraft Season Pass]],tbl_apoio5[[Minecraft Season Pass]:[Minecraft Season Pass2]],2,FALSE)</f>
        <v>0</v>
      </c>
      <c r="T155" s="41">
        <f>SUM(tbl_xbox[[#This Row],[Plan2]:[Minecraft Season Pass2]])</f>
        <v>0</v>
      </c>
      <c r="U155" s="40" t="str">
        <f>VLOOKUP(tbl_xbox[[#This Row],[soma]],tbl_apoio5[[#All],[soma]:[output2]],2,FALSE)</f>
        <v>No Extras</v>
      </c>
      <c r="V155" s="7"/>
    </row>
    <row r="156" spans="1:22" ht="16.5" customHeight="1" x14ac:dyDescent="0.2">
      <c r="A156" s="4">
        <v>3385</v>
      </c>
      <c r="B156" s="4" t="s">
        <v>174</v>
      </c>
      <c r="C156" s="4" t="s">
        <v>10</v>
      </c>
      <c r="D156" s="6">
        <v>45502</v>
      </c>
      <c r="E156" s="4" t="s">
        <v>15</v>
      </c>
      <c r="F156" s="7">
        <v>15</v>
      </c>
      <c r="G156" s="4" t="s">
        <v>12</v>
      </c>
      <c r="H156" s="4" t="s">
        <v>11</v>
      </c>
      <c r="I156" s="7">
        <v>30</v>
      </c>
      <c r="J156" s="4" t="s">
        <v>11</v>
      </c>
      <c r="K156" s="7">
        <v>20</v>
      </c>
      <c r="L156" s="7">
        <v>20</v>
      </c>
      <c r="M156" s="7">
        <v>45</v>
      </c>
      <c r="N156" s="40" t="str">
        <f>IF(tbl_xbox[[#This Row],[Coupon Value]]=$L$3,"No","Yes")</f>
        <v>Yes</v>
      </c>
      <c r="O156" s="40" t="str">
        <f>IF(OR(tbl_xbox[[#This Row],[EA Play Season Pass]]="Yes",tbl_xbox[[#This Row],[Minecraft Season Pass]]="Yes"),"Yes","No")</f>
        <v>Yes</v>
      </c>
      <c r="P156" s="40">
        <f>tbl_xbox[[#This Row],[Subscription Price]]+tbl_xbox[[#This Row],[EA Play Season Pass
Price]]+tbl_xbox[[#This Row],[Minecraft Season Pass Price]]</f>
        <v>65</v>
      </c>
      <c r="Q156" s="41">
        <f>VLOOKUP(tbl_xbox[[#This Row],[Plan]],tbl_apoio5[#All],2,FALSE)</f>
        <v>2</v>
      </c>
      <c r="R156" s="41">
        <f>VLOOKUP(tbl_xbox[[#This Row],[EA Play Season Pass]],tbl_apoio5[[EA Play Season Pass]:[output2]],2,FALSE)</f>
        <v>3</v>
      </c>
      <c r="S156" s="41">
        <f>VLOOKUP(tbl_xbox[[#This Row],[Minecraft Season Pass]],tbl_apoio5[[Minecraft Season Pass]:[Minecraft Season Pass2]],2,FALSE)</f>
        <v>6</v>
      </c>
      <c r="T156" s="41">
        <f>SUM(tbl_xbox[[#This Row],[Plan2]:[Minecraft Season Pass2]])</f>
        <v>11</v>
      </c>
      <c r="U156" s="40" t="str">
        <f>VLOOKUP(tbl_xbox[[#This Row],[soma]],tbl_apoio5[[#All],[soma]:[output2]],2,FALSE)</f>
        <v>EA Play + Minecraft</v>
      </c>
      <c r="V156" s="7"/>
    </row>
    <row r="157" spans="1:22" ht="16.5" customHeight="1" x14ac:dyDescent="0.2">
      <c r="A157" s="4">
        <v>3386</v>
      </c>
      <c r="B157" s="4" t="s">
        <v>175</v>
      </c>
      <c r="C157" s="4" t="s">
        <v>18</v>
      </c>
      <c r="D157" s="6">
        <v>45503</v>
      </c>
      <c r="E157" s="4" t="s">
        <v>11</v>
      </c>
      <c r="F157" s="7">
        <v>10</v>
      </c>
      <c r="G157" s="4" t="s">
        <v>19</v>
      </c>
      <c r="H157" s="4" t="s">
        <v>15</v>
      </c>
      <c r="I157" s="7">
        <v>0</v>
      </c>
      <c r="J157" s="4" t="s">
        <v>11</v>
      </c>
      <c r="K157" s="7">
        <v>20</v>
      </c>
      <c r="L157" s="7">
        <v>15</v>
      </c>
      <c r="M157" s="7">
        <v>15</v>
      </c>
      <c r="N157" s="40" t="str">
        <f>IF(tbl_xbox[[#This Row],[Coupon Value]]=$L$3,"No","Yes")</f>
        <v>Yes</v>
      </c>
      <c r="O157" s="40" t="str">
        <f>IF(OR(tbl_xbox[[#This Row],[EA Play Season Pass]]="Yes",tbl_xbox[[#This Row],[Minecraft Season Pass]]="Yes"),"Yes","No")</f>
        <v>Yes</v>
      </c>
      <c r="P157" s="40">
        <f>tbl_xbox[[#This Row],[Subscription Price]]+tbl_xbox[[#This Row],[EA Play Season Pass
Price]]+tbl_xbox[[#This Row],[Minecraft Season Pass Price]]</f>
        <v>30</v>
      </c>
      <c r="Q157" s="41">
        <f>VLOOKUP(tbl_xbox[[#This Row],[Plan]],tbl_apoio5[#All],2,FALSE)</f>
        <v>1</v>
      </c>
      <c r="R157" s="41">
        <f>VLOOKUP(tbl_xbox[[#This Row],[EA Play Season Pass]],tbl_apoio5[[EA Play Season Pass]:[output2]],2,FALSE)</f>
        <v>0</v>
      </c>
      <c r="S157" s="41">
        <f>VLOOKUP(tbl_xbox[[#This Row],[Minecraft Season Pass]],tbl_apoio5[[Minecraft Season Pass]:[Minecraft Season Pass2]],2,FALSE)</f>
        <v>6</v>
      </c>
      <c r="T157" s="41">
        <f>SUM(tbl_xbox[[#This Row],[Plan2]:[Minecraft Season Pass2]])</f>
        <v>7</v>
      </c>
      <c r="U157" s="40" t="str">
        <f>VLOOKUP(tbl_xbox[[#This Row],[soma]],tbl_apoio5[[#All],[soma]:[output2]],2,FALSE)</f>
        <v>Minecraft</v>
      </c>
      <c r="V157" s="7"/>
    </row>
    <row r="158" spans="1:22" ht="16.5" customHeight="1" x14ac:dyDescent="0.2">
      <c r="A158" s="4">
        <v>3387</v>
      </c>
      <c r="B158" s="4" t="s">
        <v>176</v>
      </c>
      <c r="C158" s="4" t="s">
        <v>14</v>
      </c>
      <c r="D158" s="6">
        <v>45504</v>
      </c>
      <c r="E158" s="4" t="s">
        <v>15</v>
      </c>
      <c r="F158" s="7">
        <v>5</v>
      </c>
      <c r="G158" s="4" t="s">
        <v>12</v>
      </c>
      <c r="H158" s="4" t="s">
        <v>15</v>
      </c>
      <c r="I158" s="7">
        <v>0</v>
      </c>
      <c r="J158" s="4" t="s">
        <v>15</v>
      </c>
      <c r="K158" s="7">
        <v>0</v>
      </c>
      <c r="L158" s="7">
        <v>1</v>
      </c>
      <c r="M158" s="7">
        <v>4</v>
      </c>
      <c r="N158" s="40" t="str">
        <f>IF(tbl_xbox[[#This Row],[Coupon Value]]=$L$3,"No","Yes")</f>
        <v>Yes</v>
      </c>
      <c r="O158" s="40" t="str">
        <f>IF(OR(tbl_xbox[[#This Row],[EA Play Season Pass]]="Yes",tbl_xbox[[#This Row],[Minecraft Season Pass]]="Yes"),"Yes","No")</f>
        <v>No</v>
      </c>
      <c r="P158" s="40">
        <f>tbl_xbox[[#This Row],[Subscription Price]]+tbl_xbox[[#This Row],[EA Play Season Pass
Price]]+tbl_xbox[[#This Row],[Minecraft Season Pass Price]]</f>
        <v>5</v>
      </c>
      <c r="Q158" s="41">
        <f>VLOOKUP(tbl_xbox[[#This Row],[Plan]],tbl_apoio5[#All],2,FALSE)</f>
        <v>0</v>
      </c>
      <c r="R158" s="41">
        <f>VLOOKUP(tbl_xbox[[#This Row],[EA Play Season Pass]],tbl_apoio5[[EA Play Season Pass]:[output2]],2,FALSE)</f>
        <v>0</v>
      </c>
      <c r="S158" s="41">
        <f>VLOOKUP(tbl_xbox[[#This Row],[Minecraft Season Pass]],tbl_apoio5[[Minecraft Season Pass]:[Minecraft Season Pass2]],2,FALSE)</f>
        <v>0</v>
      </c>
      <c r="T158" s="41">
        <f>SUM(tbl_xbox[[#This Row],[Plan2]:[Minecraft Season Pass2]])</f>
        <v>0</v>
      </c>
      <c r="U158" s="40" t="str">
        <f>VLOOKUP(tbl_xbox[[#This Row],[soma]],tbl_apoio5[[#All],[soma]:[output2]],2,FALSE)</f>
        <v>No Extras</v>
      </c>
      <c r="V158" s="7"/>
    </row>
    <row r="159" spans="1:22" ht="16.5" customHeight="1" x14ac:dyDescent="0.2">
      <c r="A159" s="4">
        <v>3388</v>
      </c>
      <c r="B159" s="4" t="s">
        <v>177</v>
      </c>
      <c r="C159" s="4" t="s">
        <v>10</v>
      </c>
      <c r="D159" s="6">
        <v>45505</v>
      </c>
      <c r="E159" s="4" t="s">
        <v>11</v>
      </c>
      <c r="F159" s="7">
        <v>15</v>
      </c>
      <c r="G159" s="4" t="s">
        <v>16</v>
      </c>
      <c r="H159" s="4" t="s">
        <v>11</v>
      </c>
      <c r="I159" s="7">
        <v>30</v>
      </c>
      <c r="J159" s="4" t="s">
        <v>11</v>
      </c>
      <c r="K159" s="7">
        <v>20</v>
      </c>
      <c r="L159" s="7">
        <v>3</v>
      </c>
      <c r="M159" s="7">
        <v>62</v>
      </c>
      <c r="N159" s="40" t="str">
        <f>IF(tbl_xbox[[#This Row],[Coupon Value]]=$L$3,"No","Yes")</f>
        <v>Yes</v>
      </c>
      <c r="O159" s="40" t="str">
        <f>IF(OR(tbl_xbox[[#This Row],[EA Play Season Pass]]="Yes",tbl_xbox[[#This Row],[Minecraft Season Pass]]="Yes"),"Yes","No")</f>
        <v>Yes</v>
      </c>
      <c r="P159" s="40">
        <f>tbl_xbox[[#This Row],[Subscription Price]]+tbl_xbox[[#This Row],[EA Play Season Pass
Price]]+tbl_xbox[[#This Row],[Minecraft Season Pass Price]]</f>
        <v>65</v>
      </c>
      <c r="Q159" s="41">
        <f>VLOOKUP(tbl_xbox[[#This Row],[Plan]],tbl_apoio5[#All],2,FALSE)</f>
        <v>2</v>
      </c>
      <c r="R159" s="41">
        <f>VLOOKUP(tbl_xbox[[#This Row],[EA Play Season Pass]],tbl_apoio5[[EA Play Season Pass]:[output2]],2,FALSE)</f>
        <v>3</v>
      </c>
      <c r="S159" s="41">
        <f>VLOOKUP(tbl_xbox[[#This Row],[Minecraft Season Pass]],tbl_apoio5[[Minecraft Season Pass]:[Minecraft Season Pass2]],2,FALSE)</f>
        <v>6</v>
      </c>
      <c r="T159" s="41">
        <f>SUM(tbl_xbox[[#This Row],[Plan2]:[Minecraft Season Pass2]])</f>
        <v>11</v>
      </c>
      <c r="U159" s="40" t="str">
        <f>VLOOKUP(tbl_xbox[[#This Row],[soma]],tbl_apoio5[[#All],[soma]:[output2]],2,FALSE)</f>
        <v>EA Play + Minecraft</v>
      </c>
      <c r="V159" s="7"/>
    </row>
    <row r="160" spans="1:22" ht="16.5" customHeight="1" x14ac:dyDescent="0.2">
      <c r="A160" s="4">
        <v>3389</v>
      </c>
      <c r="B160" s="4" t="s">
        <v>178</v>
      </c>
      <c r="C160" s="4" t="s">
        <v>18</v>
      </c>
      <c r="D160" s="6">
        <v>45506</v>
      </c>
      <c r="E160" s="4" t="s">
        <v>15</v>
      </c>
      <c r="F160" s="7">
        <v>10</v>
      </c>
      <c r="G160" s="4" t="s">
        <v>12</v>
      </c>
      <c r="H160" s="4" t="s">
        <v>15</v>
      </c>
      <c r="I160" s="7">
        <v>0</v>
      </c>
      <c r="J160" s="4" t="s">
        <v>11</v>
      </c>
      <c r="K160" s="7">
        <v>20</v>
      </c>
      <c r="L160" s="7">
        <v>10</v>
      </c>
      <c r="M160" s="7">
        <v>20</v>
      </c>
      <c r="N160" s="40" t="str">
        <f>IF(tbl_xbox[[#This Row],[Coupon Value]]=$L$3,"No","Yes")</f>
        <v>Yes</v>
      </c>
      <c r="O160" s="40" t="str">
        <f>IF(OR(tbl_xbox[[#This Row],[EA Play Season Pass]]="Yes",tbl_xbox[[#This Row],[Minecraft Season Pass]]="Yes"),"Yes","No")</f>
        <v>Yes</v>
      </c>
      <c r="P160" s="40">
        <f>tbl_xbox[[#This Row],[Subscription Price]]+tbl_xbox[[#This Row],[EA Play Season Pass
Price]]+tbl_xbox[[#This Row],[Minecraft Season Pass Price]]</f>
        <v>30</v>
      </c>
      <c r="Q160" s="41">
        <f>VLOOKUP(tbl_xbox[[#This Row],[Plan]],tbl_apoio5[#All],2,FALSE)</f>
        <v>1</v>
      </c>
      <c r="R160" s="41">
        <f>VLOOKUP(tbl_xbox[[#This Row],[EA Play Season Pass]],tbl_apoio5[[EA Play Season Pass]:[output2]],2,FALSE)</f>
        <v>0</v>
      </c>
      <c r="S160" s="41">
        <f>VLOOKUP(tbl_xbox[[#This Row],[Minecraft Season Pass]],tbl_apoio5[[Minecraft Season Pass]:[Minecraft Season Pass2]],2,FALSE)</f>
        <v>6</v>
      </c>
      <c r="T160" s="41">
        <f>SUM(tbl_xbox[[#This Row],[Plan2]:[Minecraft Season Pass2]])</f>
        <v>7</v>
      </c>
      <c r="U160" s="40" t="str">
        <f>VLOOKUP(tbl_xbox[[#This Row],[soma]],tbl_apoio5[[#All],[soma]:[output2]],2,FALSE)</f>
        <v>Minecraft</v>
      </c>
      <c r="V160" s="7"/>
    </row>
    <row r="161" spans="1:22" ht="16.5" customHeight="1" x14ac:dyDescent="0.2">
      <c r="A161" s="4">
        <v>3390</v>
      </c>
      <c r="B161" s="4" t="s">
        <v>179</v>
      </c>
      <c r="C161" s="4" t="s">
        <v>14</v>
      </c>
      <c r="D161" s="6">
        <v>45507</v>
      </c>
      <c r="E161" s="4" t="s">
        <v>11</v>
      </c>
      <c r="F161" s="7">
        <v>5</v>
      </c>
      <c r="G161" s="4" t="s">
        <v>19</v>
      </c>
      <c r="H161" s="4" t="s">
        <v>15</v>
      </c>
      <c r="I161" s="7">
        <v>0</v>
      </c>
      <c r="J161" s="4" t="s">
        <v>15</v>
      </c>
      <c r="K161" s="7">
        <v>0</v>
      </c>
      <c r="L161" s="7">
        <v>0</v>
      </c>
      <c r="M161" s="7">
        <v>5</v>
      </c>
      <c r="N161" s="40" t="str">
        <f>IF(tbl_xbox[[#This Row],[Coupon Value]]=$L$3,"No","Yes")</f>
        <v>No</v>
      </c>
      <c r="O161" s="40" t="str">
        <f>IF(OR(tbl_xbox[[#This Row],[EA Play Season Pass]]="Yes",tbl_xbox[[#This Row],[Minecraft Season Pass]]="Yes"),"Yes","No")</f>
        <v>No</v>
      </c>
      <c r="P161" s="40">
        <f>tbl_xbox[[#This Row],[Subscription Price]]+tbl_xbox[[#This Row],[EA Play Season Pass
Price]]+tbl_xbox[[#This Row],[Minecraft Season Pass Price]]</f>
        <v>5</v>
      </c>
      <c r="Q161" s="41">
        <f>VLOOKUP(tbl_xbox[[#This Row],[Plan]],tbl_apoio5[#All],2,FALSE)</f>
        <v>0</v>
      </c>
      <c r="R161" s="41">
        <f>VLOOKUP(tbl_xbox[[#This Row],[EA Play Season Pass]],tbl_apoio5[[EA Play Season Pass]:[output2]],2,FALSE)</f>
        <v>0</v>
      </c>
      <c r="S161" s="41">
        <f>VLOOKUP(tbl_xbox[[#This Row],[Minecraft Season Pass]],tbl_apoio5[[Minecraft Season Pass]:[Minecraft Season Pass2]],2,FALSE)</f>
        <v>0</v>
      </c>
      <c r="T161" s="41">
        <f>SUM(tbl_xbox[[#This Row],[Plan2]:[Minecraft Season Pass2]])</f>
        <v>0</v>
      </c>
      <c r="U161" s="40" t="str">
        <f>VLOOKUP(tbl_xbox[[#This Row],[soma]],tbl_apoio5[[#All],[soma]:[output2]],2,FALSE)</f>
        <v>No Extras</v>
      </c>
      <c r="V161" s="7"/>
    </row>
    <row r="162" spans="1:22" ht="16.5" customHeight="1" x14ac:dyDescent="0.2">
      <c r="A162" s="4">
        <v>3391</v>
      </c>
      <c r="B162" s="4" t="s">
        <v>79</v>
      </c>
      <c r="C162" s="4" t="s">
        <v>10</v>
      </c>
      <c r="D162" s="6">
        <v>45508</v>
      </c>
      <c r="E162" s="4" t="s">
        <v>15</v>
      </c>
      <c r="F162" s="7">
        <v>15</v>
      </c>
      <c r="G162" s="4" t="s">
        <v>12</v>
      </c>
      <c r="H162" s="4" t="s">
        <v>11</v>
      </c>
      <c r="I162" s="7">
        <v>30</v>
      </c>
      <c r="J162" s="4" t="s">
        <v>11</v>
      </c>
      <c r="K162" s="7">
        <v>20</v>
      </c>
      <c r="L162" s="7">
        <v>15</v>
      </c>
      <c r="M162" s="7">
        <v>50</v>
      </c>
      <c r="N162" s="40" t="str">
        <f>IF(tbl_xbox[[#This Row],[Coupon Value]]=$L$3,"No","Yes")</f>
        <v>Yes</v>
      </c>
      <c r="O162" s="40" t="str">
        <f>IF(OR(tbl_xbox[[#This Row],[EA Play Season Pass]]="Yes",tbl_xbox[[#This Row],[Minecraft Season Pass]]="Yes"),"Yes","No")</f>
        <v>Yes</v>
      </c>
      <c r="P162" s="40">
        <f>tbl_xbox[[#This Row],[Subscription Price]]+tbl_xbox[[#This Row],[EA Play Season Pass
Price]]+tbl_xbox[[#This Row],[Minecraft Season Pass Price]]</f>
        <v>65</v>
      </c>
      <c r="Q162" s="41">
        <f>VLOOKUP(tbl_xbox[[#This Row],[Plan]],tbl_apoio5[#All],2,FALSE)</f>
        <v>2</v>
      </c>
      <c r="R162" s="41">
        <f>VLOOKUP(tbl_xbox[[#This Row],[EA Play Season Pass]],tbl_apoio5[[EA Play Season Pass]:[output2]],2,FALSE)</f>
        <v>3</v>
      </c>
      <c r="S162" s="41">
        <f>VLOOKUP(tbl_xbox[[#This Row],[Minecraft Season Pass]],tbl_apoio5[[Minecraft Season Pass]:[Minecraft Season Pass2]],2,FALSE)</f>
        <v>6</v>
      </c>
      <c r="T162" s="41">
        <f>SUM(tbl_xbox[[#This Row],[Plan2]:[Minecraft Season Pass2]])</f>
        <v>11</v>
      </c>
      <c r="U162" s="40" t="str">
        <f>VLOOKUP(tbl_xbox[[#This Row],[soma]],tbl_apoio5[[#All],[soma]:[output2]],2,FALSE)</f>
        <v>EA Play + Minecraft</v>
      </c>
      <c r="V162" s="7"/>
    </row>
    <row r="163" spans="1:22" ht="16.5" customHeight="1" x14ac:dyDescent="0.2">
      <c r="A163" s="4">
        <v>3392</v>
      </c>
      <c r="B163" s="4" t="s">
        <v>180</v>
      </c>
      <c r="C163" s="4" t="s">
        <v>18</v>
      </c>
      <c r="D163" s="6">
        <v>45509</v>
      </c>
      <c r="E163" s="4" t="s">
        <v>11</v>
      </c>
      <c r="F163" s="7">
        <v>10</v>
      </c>
      <c r="G163" s="4" t="s">
        <v>16</v>
      </c>
      <c r="H163" s="4" t="s">
        <v>15</v>
      </c>
      <c r="I163" s="7">
        <v>0</v>
      </c>
      <c r="J163" s="4" t="s">
        <v>11</v>
      </c>
      <c r="K163" s="7">
        <v>20</v>
      </c>
      <c r="L163" s="7">
        <v>15</v>
      </c>
      <c r="M163" s="7">
        <v>15</v>
      </c>
      <c r="N163" s="40" t="str">
        <f>IF(tbl_xbox[[#This Row],[Coupon Value]]=$L$3,"No","Yes")</f>
        <v>Yes</v>
      </c>
      <c r="O163" s="40" t="str">
        <f>IF(OR(tbl_xbox[[#This Row],[EA Play Season Pass]]="Yes",tbl_xbox[[#This Row],[Minecraft Season Pass]]="Yes"),"Yes","No")</f>
        <v>Yes</v>
      </c>
      <c r="P163" s="40">
        <f>tbl_xbox[[#This Row],[Subscription Price]]+tbl_xbox[[#This Row],[EA Play Season Pass
Price]]+tbl_xbox[[#This Row],[Minecraft Season Pass Price]]</f>
        <v>30</v>
      </c>
      <c r="Q163" s="41">
        <f>VLOOKUP(tbl_xbox[[#This Row],[Plan]],tbl_apoio5[#All],2,FALSE)</f>
        <v>1</v>
      </c>
      <c r="R163" s="41">
        <f>VLOOKUP(tbl_xbox[[#This Row],[EA Play Season Pass]],tbl_apoio5[[EA Play Season Pass]:[output2]],2,FALSE)</f>
        <v>0</v>
      </c>
      <c r="S163" s="41">
        <f>VLOOKUP(tbl_xbox[[#This Row],[Minecraft Season Pass]],tbl_apoio5[[Minecraft Season Pass]:[Minecraft Season Pass2]],2,FALSE)</f>
        <v>6</v>
      </c>
      <c r="T163" s="41">
        <f>SUM(tbl_xbox[[#This Row],[Plan2]:[Minecraft Season Pass2]])</f>
        <v>7</v>
      </c>
      <c r="U163" s="40" t="str">
        <f>VLOOKUP(tbl_xbox[[#This Row],[soma]],tbl_apoio5[[#All],[soma]:[output2]],2,FALSE)</f>
        <v>Minecraft</v>
      </c>
      <c r="V163" s="7"/>
    </row>
    <row r="164" spans="1:22" ht="16.5" customHeight="1" x14ac:dyDescent="0.2">
      <c r="A164" s="4">
        <v>3393</v>
      </c>
      <c r="B164" s="4" t="s">
        <v>181</v>
      </c>
      <c r="C164" s="4" t="s">
        <v>14</v>
      </c>
      <c r="D164" s="6">
        <v>45510</v>
      </c>
      <c r="E164" s="4" t="s">
        <v>15</v>
      </c>
      <c r="F164" s="7">
        <v>5</v>
      </c>
      <c r="G164" s="4" t="s">
        <v>12</v>
      </c>
      <c r="H164" s="4" t="s">
        <v>15</v>
      </c>
      <c r="I164" s="7">
        <v>0</v>
      </c>
      <c r="J164" s="4" t="s">
        <v>15</v>
      </c>
      <c r="K164" s="7">
        <v>0</v>
      </c>
      <c r="L164" s="7">
        <v>1</v>
      </c>
      <c r="M164" s="7">
        <v>4</v>
      </c>
      <c r="N164" s="40" t="str">
        <f>IF(tbl_xbox[[#This Row],[Coupon Value]]=$L$3,"No","Yes")</f>
        <v>Yes</v>
      </c>
      <c r="O164" s="40" t="str">
        <f>IF(OR(tbl_xbox[[#This Row],[EA Play Season Pass]]="Yes",tbl_xbox[[#This Row],[Minecraft Season Pass]]="Yes"),"Yes","No")</f>
        <v>No</v>
      </c>
      <c r="P164" s="40">
        <f>tbl_xbox[[#This Row],[Subscription Price]]+tbl_xbox[[#This Row],[EA Play Season Pass
Price]]+tbl_xbox[[#This Row],[Minecraft Season Pass Price]]</f>
        <v>5</v>
      </c>
      <c r="Q164" s="41">
        <f>VLOOKUP(tbl_xbox[[#This Row],[Plan]],tbl_apoio5[#All],2,FALSE)</f>
        <v>0</v>
      </c>
      <c r="R164" s="41">
        <f>VLOOKUP(tbl_xbox[[#This Row],[EA Play Season Pass]],tbl_apoio5[[EA Play Season Pass]:[output2]],2,FALSE)</f>
        <v>0</v>
      </c>
      <c r="S164" s="41">
        <f>VLOOKUP(tbl_xbox[[#This Row],[Minecraft Season Pass]],tbl_apoio5[[Minecraft Season Pass]:[Minecraft Season Pass2]],2,FALSE)</f>
        <v>0</v>
      </c>
      <c r="T164" s="41">
        <f>SUM(tbl_xbox[[#This Row],[Plan2]:[Minecraft Season Pass2]])</f>
        <v>0</v>
      </c>
      <c r="U164" s="40" t="str">
        <f>VLOOKUP(tbl_xbox[[#This Row],[soma]],tbl_apoio5[[#All],[soma]:[output2]],2,FALSE)</f>
        <v>No Extras</v>
      </c>
      <c r="V164" s="7"/>
    </row>
    <row r="165" spans="1:22" ht="16.5" customHeight="1" x14ac:dyDescent="0.2">
      <c r="A165" s="4">
        <v>3394</v>
      </c>
      <c r="B165" s="4" t="s">
        <v>182</v>
      </c>
      <c r="C165" s="4" t="s">
        <v>10</v>
      </c>
      <c r="D165" s="6">
        <v>45511</v>
      </c>
      <c r="E165" s="4" t="s">
        <v>11</v>
      </c>
      <c r="F165" s="7">
        <v>15</v>
      </c>
      <c r="G165" s="4" t="s">
        <v>19</v>
      </c>
      <c r="H165" s="4" t="s">
        <v>11</v>
      </c>
      <c r="I165" s="7">
        <v>30</v>
      </c>
      <c r="J165" s="4" t="s">
        <v>11</v>
      </c>
      <c r="K165" s="7">
        <v>20</v>
      </c>
      <c r="L165" s="7">
        <v>7</v>
      </c>
      <c r="M165" s="7">
        <v>58</v>
      </c>
      <c r="N165" s="40" t="str">
        <f>IF(tbl_xbox[[#This Row],[Coupon Value]]=$L$3,"No","Yes")</f>
        <v>Yes</v>
      </c>
      <c r="O165" s="40" t="str">
        <f>IF(OR(tbl_xbox[[#This Row],[EA Play Season Pass]]="Yes",tbl_xbox[[#This Row],[Minecraft Season Pass]]="Yes"),"Yes","No")</f>
        <v>Yes</v>
      </c>
      <c r="P165" s="40">
        <f>tbl_xbox[[#This Row],[Subscription Price]]+tbl_xbox[[#This Row],[EA Play Season Pass
Price]]+tbl_xbox[[#This Row],[Minecraft Season Pass Price]]</f>
        <v>65</v>
      </c>
      <c r="Q165" s="41">
        <f>VLOOKUP(tbl_xbox[[#This Row],[Plan]],tbl_apoio5[#All],2,FALSE)</f>
        <v>2</v>
      </c>
      <c r="R165" s="41">
        <f>VLOOKUP(tbl_xbox[[#This Row],[EA Play Season Pass]],tbl_apoio5[[EA Play Season Pass]:[output2]],2,FALSE)</f>
        <v>3</v>
      </c>
      <c r="S165" s="41">
        <f>VLOOKUP(tbl_xbox[[#This Row],[Minecraft Season Pass]],tbl_apoio5[[Minecraft Season Pass]:[Minecraft Season Pass2]],2,FALSE)</f>
        <v>6</v>
      </c>
      <c r="T165" s="41">
        <f>SUM(tbl_xbox[[#This Row],[Plan2]:[Minecraft Season Pass2]])</f>
        <v>11</v>
      </c>
      <c r="U165" s="40" t="str">
        <f>VLOOKUP(tbl_xbox[[#This Row],[soma]],tbl_apoio5[[#All],[soma]:[output2]],2,FALSE)</f>
        <v>EA Play + Minecraft</v>
      </c>
      <c r="V165" s="7"/>
    </row>
    <row r="166" spans="1:22" ht="16.5" customHeight="1" x14ac:dyDescent="0.2">
      <c r="A166" s="4">
        <v>3395</v>
      </c>
      <c r="B166" s="4" t="s">
        <v>183</v>
      </c>
      <c r="C166" s="4" t="s">
        <v>18</v>
      </c>
      <c r="D166" s="6">
        <v>45512</v>
      </c>
      <c r="E166" s="4" t="s">
        <v>15</v>
      </c>
      <c r="F166" s="7">
        <v>10</v>
      </c>
      <c r="G166" s="4" t="s">
        <v>12</v>
      </c>
      <c r="H166" s="4" t="s">
        <v>15</v>
      </c>
      <c r="I166" s="7">
        <v>0</v>
      </c>
      <c r="J166" s="4" t="s">
        <v>11</v>
      </c>
      <c r="K166" s="7">
        <v>20</v>
      </c>
      <c r="L166" s="7">
        <v>10</v>
      </c>
      <c r="M166" s="7">
        <v>20</v>
      </c>
      <c r="N166" s="40" t="str">
        <f>IF(tbl_xbox[[#This Row],[Coupon Value]]=$L$3,"No","Yes")</f>
        <v>Yes</v>
      </c>
      <c r="O166" s="40" t="str">
        <f>IF(OR(tbl_xbox[[#This Row],[EA Play Season Pass]]="Yes",tbl_xbox[[#This Row],[Minecraft Season Pass]]="Yes"),"Yes","No")</f>
        <v>Yes</v>
      </c>
      <c r="P166" s="40">
        <f>tbl_xbox[[#This Row],[Subscription Price]]+tbl_xbox[[#This Row],[EA Play Season Pass
Price]]+tbl_xbox[[#This Row],[Minecraft Season Pass Price]]</f>
        <v>30</v>
      </c>
      <c r="Q166" s="41">
        <f>VLOOKUP(tbl_xbox[[#This Row],[Plan]],tbl_apoio5[#All],2,FALSE)</f>
        <v>1</v>
      </c>
      <c r="R166" s="41">
        <f>VLOOKUP(tbl_xbox[[#This Row],[EA Play Season Pass]],tbl_apoio5[[EA Play Season Pass]:[output2]],2,FALSE)</f>
        <v>0</v>
      </c>
      <c r="S166" s="41">
        <f>VLOOKUP(tbl_xbox[[#This Row],[Minecraft Season Pass]],tbl_apoio5[[Minecraft Season Pass]:[Minecraft Season Pass2]],2,FALSE)</f>
        <v>6</v>
      </c>
      <c r="T166" s="41">
        <f>SUM(tbl_xbox[[#This Row],[Plan2]:[Minecraft Season Pass2]])</f>
        <v>7</v>
      </c>
      <c r="U166" s="40" t="str">
        <f>VLOOKUP(tbl_xbox[[#This Row],[soma]],tbl_apoio5[[#All],[soma]:[output2]],2,FALSE)</f>
        <v>Minecraft</v>
      </c>
      <c r="V166" s="7"/>
    </row>
    <row r="167" spans="1:22" ht="16.5" customHeight="1" x14ac:dyDescent="0.2">
      <c r="A167" s="4">
        <v>3396</v>
      </c>
      <c r="B167" s="4" t="s">
        <v>184</v>
      </c>
      <c r="C167" s="4" t="s">
        <v>14</v>
      </c>
      <c r="D167" s="6">
        <v>45513</v>
      </c>
      <c r="E167" s="4" t="s">
        <v>11</v>
      </c>
      <c r="F167" s="7">
        <v>5</v>
      </c>
      <c r="G167" s="4" t="s">
        <v>16</v>
      </c>
      <c r="H167" s="4" t="s">
        <v>15</v>
      </c>
      <c r="I167" s="7">
        <v>0</v>
      </c>
      <c r="J167" s="4" t="s">
        <v>15</v>
      </c>
      <c r="K167" s="7">
        <v>0</v>
      </c>
      <c r="L167" s="7">
        <v>0</v>
      </c>
      <c r="M167" s="7">
        <v>5</v>
      </c>
      <c r="N167" s="40" t="str">
        <f>IF(tbl_xbox[[#This Row],[Coupon Value]]=$L$3,"No","Yes")</f>
        <v>No</v>
      </c>
      <c r="O167" s="40" t="str">
        <f>IF(OR(tbl_xbox[[#This Row],[EA Play Season Pass]]="Yes",tbl_xbox[[#This Row],[Minecraft Season Pass]]="Yes"),"Yes","No")</f>
        <v>No</v>
      </c>
      <c r="P167" s="40">
        <f>tbl_xbox[[#This Row],[Subscription Price]]+tbl_xbox[[#This Row],[EA Play Season Pass
Price]]+tbl_xbox[[#This Row],[Minecraft Season Pass Price]]</f>
        <v>5</v>
      </c>
      <c r="Q167" s="41">
        <f>VLOOKUP(tbl_xbox[[#This Row],[Plan]],tbl_apoio5[#All],2,FALSE)</f>
        <v>0</v>
      </c>
      <c r="R167" s="41">
        <f>VLOOKUP(tbl_xbox[[#This Row],[EA Play Season Pass]],tbl_apoio5[[EA Play Season Pass]:[output2]],2,FALSE)</f>
        <v>0</v>
      </c>
      <c r="S167" s="41">
        <f>VLOOKUP(tbl_xbox[[#This Row],[Minecraft Season Pass]],tbl_apoio5[[Minecraft Season Pass]:[Minecraft Season Pass2]],2,FALSE)</f>
        <v>0</v>
      </c>
      <c r="T167" s="41">
        <f>SUM(tbl_xbox[[#This Row],[Plan2]:[Minecraft Season Pass2]])</f>
        <v>0</v>
      </c>
      <c r="U167" s="40" t="str">
        <f>VLOOKUP(tbl_xbox[[#This Row],[soma]],tbl_apoio5[[#All],[soma]:[output2]],2,FALSE)</f>
        <v>No Extras</v>
      </c>
      <c r="V167" s="7"/>
    </row>
    <row r="168" spans="1:22" ht="16.5" customHeight="1" x14ac:dyDescent="0.2">
      <c r="A168" s="4">
        <v>3397</v>
      </c>
      <c r="B168" s="4" t="s">
        <v>111</v>
      </c>
      <c r="C168" s="4" t="s">
        <v>10</v>
      </c>
      <c r="D168" s="6">
        <v>45514</v>
      </c>
      <c r="E168" s="4" t="s">
        <v>15</v>
      </c>
      <c r="F168" s="7">
        <v>15</v>
      </c>
      <c r="G168" s="4" t="s">
        <v>12</v>
      </c>
      <c r="H168" s="4" t="s">
        <v>11</v>
      </c>
      <c r="I168" s="7">
        <v>30</v>
      </c>
      <c r="J168" s="4" t="s">
        <v>11</v>
      </c>
      <c r="K168" s="7">
        <v>20</v>
      </c>
      <c r="L168" s="7">
        <v>20</v>
      </c>
      <c r="M168" s="7">
        <v>45</v>
      </c>
      <c r="N168" s="40" t="str">
        <f>IF(tbl_xbox[[#This Row],[Coupon Value]]=$L$3,"No","Yes")</f>
        <v>Yes</v>
      </c>
      <c r="O168" s="40" t="str">
        <f>IF(OR(tbl_xbox[[#This Row],[EA Play Season Pass]]="Yes",tbl_xbox[[#This Row],[Minecraft Season Pass]]="Yes"),"Yes","No")</f>
        <v>Yes</v>
      </c>
      <c r="P168" s="40">
        <f>tbl_xbox[[#This Row],[Subscription Price]]+tbl_xbox[[#This Row],[EA Play Season Pass
Price]]+tbl_xbox[[#This Row],[Minecraft Season Pass Price]]</f>
        <v>65</v>
      </c>
      <c r="Q168" s="41">
        <f>VLOOKUP(tbl_xbox[[#This Row],[Plan]],tbl_apoio5[#All],2,FALSE)</f>
        <v>2</v>
      </c>
      <c r="R168" s="41">
        <f>VLOOKUP(tbl_xbox[[#This Row],[EA Play Season Pass]],tbl_apoio5[[EA Play Season Pass]:[output2]],2,FALSE)</f>
        <v>3</v>
      </c>
      <c r="S168" s="41">
        <f>VLOOKUP(tbl_xbox[[#This Row],[Minecraft Season Pass]],tbl_apoio5[[Minecraft Season Pass]:[Minecraft Season Pass2]],2,FALSE)</f>
        <v>6</v>
      </c>
      <c r="T168" s="41">
        <f>SUM(tbl_xbox[[#This Row],[Plan2]:[Minecraft Season Pass2]])</f>
        <v>11</v>
      </c>
      <c r="U168" s="40" t="str">
        <f>VLOOKUP(tbl_xbox[[#This Row],[soma]],tbl_apoio5[[#All],[soma]:[output2]],2,FALSE)</f>
        <v>EA Play + Minecraft</v>
      </c>
      <c r="V168" s="7"/>
    </row>
    <row r="169" spans="1:22" ht="16.5" customHeight="1" x14ac:dyDescent="0.2">
      <c r="A169" s="4">
        <v>3398</v>
      </c>
      <c r="B169" s="4" t="s">
        <v>185</v>
      </c>
      <c r="C169" s="4" t="s">
        <v>18</v>
      </c>
      <c r="D169" s="6">
        <v>45515</v>
      </c>
      <c r="E169" s="4" t="s">
        <v>11</v>
      </c>
      <c r="F169" s="7">
        <v>10</v>
      </c>
      <c r="G169" s="4" t="s">
        <v>19</v>
      </c>
      <c r="H169" s="4" t="s">
        <v>15</v>
      </c>
      <c r="I169" s="7">
        <v>0</v>
      </c>
      <c r="J169" s="4" t="s">
        <v>11</v>
      </c>
      <c r="K169" s="7">
        <v>20</v>
      </c>
      <c r="L169" s="7">
        <v>15</v>
      </c>
      <c r="M169" s="7">
        <v>15</v>
      </c>
      <c r="N169" s="40" t="str">
        <f>IF(tbl_xbox[[#This Row],[Coupon Value]]=$L$3,"No","Yes")</f>
        <v>Yes</v>
      </c>
      <c r="O169" s="40" t="str">
        <f>IF(OR(tbl_xbox[[#This Row],[EA Play Season Pass]]="Yes",tbl_xbox[[#This Row],[Minecraft Season Pass]]="Yes"),"Yes","No")</f>
        <v>Yes</v>
      </c>
      <c r="P169" s="40">
        <f>tbl_xbox[[#This Row],[Subscription Price]]+tbl_xbox[[#This Row],[EA Play Season Pass
Price]]+tbl_xbox[[#This Row],[Minecraft Season Pass Price]]</f>
        <v>30</v>
      </c>
      <c r="Q169" s="41">
        <f>VLOOKUP(tbl_xbox[[#This Row],[Plan]],tbl_apoio5[#All],2,FALSE)</f>
        <v>1</v>
      </c>
      <c r="R169" s="41">
        <f>VLOOKUP(tbl_xbox[[#This Row],[EA Play Season Pass]],tbl_apoio5[[EA Play Season Pass]:[output2]],2,FALSE)</f>
        <v>0</v>
      </c>
      <c r="S169" s="41">
        <f>VLOOKUP(tbl_xbox[[#This Row],[Minecraft Season Pass]],tbl_apoio5[[Minecraft Season Pass]:[Minecraft Season Pass2]],2,FALSE)</f>
        <v>6</v>
      </c>
      <c r="T169" s="41">
        <f>SUM(tbl_xbox[[#This Row],[Plan2]:[Minecraft Season Pass2]])</f>
        <v>7</v>
      </c>
      <c r="U169" s="40" t="str">
        <f>VLOOKUP(tbl_xbox[[#This Row],[soma]],tbl_apoio5[[#All],[soma]:[output2]],2,FALSE)</f>
        <v>Minecraft</v>
      </c>
      <c r="V169" s="7"/>
    </row>
    <row r="170" spans="1:22" ht="16.5" customHeight="1" x14ac:dyDescent="0.2">
      <c r="A170" s="4">
        <v>3399</v>
      </c>
      <c r="B170" s="4" t="s">
        <v>186</v>
      </c>
      <c r="C170" s="4" t="s">
        <v>14</v>
      </c>
      <c r="D170" s="6">
        <v>45516</v>
      </c>
      <c r="E170" s="4" t="s">
        <v>15</v>
      </c>
      <c r="F170" s="7">
        <v>5</v>
      </c>
      <c r="G170" s="4" t="s">
        <v>12</v>
      </c>
      <c r="H170" s="4" t="s">
        <v>15</v>
      </c>
      <c r="I170" s="7">
        <v>0</v>
      </c>
      <c r="J170" s="4" t="s">
        <v>15</v>
      </c>
      <c r="K170" s="7">
        <v>0</v>
      </c>
      <c r="L170" s="7">
        <v>1</v>
      </c>
      <c r="M170" s="7">
        <v>4</v>
      </c>
      <c r="N170" s="40" t="str">
        <f>IF(tbl_xbox[[#This Row],[Coupon Value]]=$L$3,"No","Yes")</f>
        <v>Yes</v>
      </c>
      <c r="O170" s="40" t="str">
        <f>IF(OR(tbl_xbox[[#This Row],[EA Play Season Pass]]="Yes",tbl_xbox[[#This Row],[Minecraft Season Pass]]="Yes"),"Yes","No")</f>
        <v>No</v>
      </c>
      <c r="P170" s="40">
        <f>tbl_xbox[[#This Row],[Subscription Price]]+tbl_xbox[[#This Row],[EA Play Season Pass
Price]]+tbl_xbox[[#This Row],[Minecraft Season Pass Price]]</f>
        <v>5</v>
      </c>
      <c r="Q170" s="41">
        <f>VLOOKUP(tbl_xbox[[#This Row],[Plan]],tbl_apoio5[#All],2,FALSE)</f>
        <v>0</v>
      </c>
      <c r="R170" s="41">
        <f>VLOOKUP(tbl_xbox[[#This Row],[EA Play Season Pass]],tbl_apoio5[[EA Play Season Pass]:[output2]],2,FALSE)</f>
        <v>0</v>
      </c>
      <c r="S170" s="41">
        <f>VLOOKUP(tbl_xbox[[#This Row],[Minecraft Season Pass]],tbl_apoio5[[Minecraft Season Pass]:[Minecraft Season Pass2]],2,FALSE)</f>
        <v>0</v>
      </c>
      <c r="T170" s="41">
        <f>SUM(tbl_xbox[[#This Row],[Plan2]:[Minecraft Season Pass2]])</f>
        <v>0</v>
      </c>
      <c r="U170" s="40" t="str">
        <f>VLOOKUP(tbl_xbox[[#This Row],[soma]],tbl_apoio5[[#All],[soma]:[output2]],2,FALSE)</f>
        <v>No Extras</v>
      </c>
      <c r="V170" s="7"/>
    </row>
    <row r="171" spans="1:22" ht="16.5" customHeight="1" x14ac:dyDescent="0.2">
      <c r="A171" s="4">
        <v>3400</v>
      </c>
      <c r="B171" s="4" t="s">
        <v>187</v>
      </c>
      <c r="C171" s="4" t="s">
        <v>10</v>
      </c>
      <c r="D171" s="6">
        <v>45517</v>
      </c>
      <c r="E171" s="4" t="s">
        <v>11</v>
      </c>
      <c r="F171" s="7">
        <v>15</v>
      </c>
      <c r="G171" s="4" t="s">
        <v>16</v>
      </c>
      <c r="H171" s="4" t="s">
        <v>11</v>
      </c>
      <c r="I171" s="7">
        <v>30</v>
      </c>
      <c r="J171" s="4" t="s">
        <v>11</v>
      </c>
      <c r="K171" s="7">
        <v>20</v>
      </c>
      <c r="L171" s="7">
        <v>5</v>
      </c>
      <c r="M171" s="7">
        <v>60</v>
      </c>
      <c r="N171" s="40" t="str">
        <f>IF(tbl_xbox[[#This Row],[Coupon Value]]=$L$3,"No","Yes")</f>
        <v>Yes</v>
      </c>
      <c r="O171" s="40" t="str">
        <f>IF(OR(tbl_xbox[[#This Row],[EA Play Season Pass]]="Yes",tbl_xbox[[#This Row],[Minecraft Season Pass]]="Yes"),"Yes","No")</f>
        <v>Yes</v>
      </c>
      <c r="P171" s="40">
        <f>tbl_xbox[[#This Row],[Subscription Price]]+tbl_xbox[[#This Row],[EA Play Season Pass
Price]]+tbl_xbox[[#This Row],[Minecraft Season Pass Price]]</f>
        <v>65</v>
      </c>
      <c r="Q171" s="41">
        <f>VLOOKUP(tbl_xbox[[#This Row],[Plan]],tbl_apoio5[#All],2,FALSE)</f>
        <v>2</v>
      </c>
      <c r="R171" s="41">
        <f>VLOOKUP(tbl_xbox[[#This Row],[EA Play Season Pass]],tbl_apoio5[[EA Play Season Pass]:[output2]],2,FALSE)</f>
        <v>3</v>
      </c>
      <c r="S171" s="41">
        <f>VLOOKUP(tbl_xbox[[#This Row],[Minecraft Season Pass]],tbl_apoio5[[Minecraft Season Pass]:[Minecraft Season Pass2]],2,FALSE)</f>
        <v>6</v>
      </c>
      <c r="T171" s="41">
        <f>SUM(tbl_xbox[[#This Row],[Plan2]:[Minecraft Season Pass2]])</f>
        <v>11</v>
      </c>
      <c r="U171" s="40" t="str">
        <f>VLOOKUP(tbl_xbox[[#This Row],[soma]],tbl_apoio5[[#All],[soma]:[output2]],2,FALSE)</f>
        <v>EA Play + Minecraft</v>
      </c>
      <c r="V171" s="7"/>
    </row>
    <row r="172" spans="1:22" ht="16.5" customHeight="1" x14ac:dyDescent="0.2">
      <c r="A172" s="4">
        <v>3401</v>
      </c>
      <c r="B172" s="4" t="s">
        <v>188</v>
      </c>
      <c r="C172" s="4" t="s">
        <v>18</v>
      </c>
      <c r="D172" s="6">
        <v>45518</v>
      </c>
      <c r="E172" s="4" t="s">
        <v>15</v>
      </c>
      <c r="F172" s="7">
        <v>10</v>
      </c>
      <c r="G172" s="4" t="s">
        <v>12</v>
      </c>
      <c r="H172" s="4" t="s">
        <v>15</v>
      </c>
      <c r="I172" s="7">
        <v>0</v>
      </c>
      <c r="J172" s="4" t="s">
        <v>11</v>
      </c>
      <c r="K172" s="7">
        <v>20</v>
      </c>
      <c r="L172" s="7">
        <v>10</v>
      </c>
      <c r="M172" s="7">
        <v>20</v>
      </c>
      <c r="N172" s="40" t="str">
        <f>IF(tbl_xbox[[#This Row],[Coupon Value]]=$L$3,"No","Yes")</f>
        <v>Yes</v>
      </c>
      <c r="O172" s="40" t="str">
        <f>IF(OR(tbl_xbox[[#This Row],[EA Play Season Pass]]="Yes",tbl_xbox[[#This Row],[Minecraft Season Pass]]="Yes"),"Yes","No")</f>
        <v>Yes</v>
      </c>
      <c r="P172" s="40">
        <f>tbl_xbox[[#This Row],[Subscription Price]]+tbl_xbox[[#This Row],[EA Play Season Pass
Price]]+tbl_xbox[[#This Row],[Minecraft Season Pass Price]]</f>
        <v>30</v>
      </c>
      <c r="Q172" s="41">
        <f>VLOOKUP(tbl_xbox[[#This Row],[Plan]],tbl_apoio5[#All],2,FALSE)</f>
        <v>1</v>
      </c>
      <c r="R172" s="41">
        <f>VLOOKUP(tbl_xbox[[#This Row],[EA Play Season Pass]],tbl_apoio5[[EA Play Season Pass]:[output2]],2,FALSE)</f>
        <v>0</v>
      </c>
      <c r="S172" s="41">
        <f>VLOOKUP(tbl_xbox[[#This Row],[Minecraft Season Pass]],tbl_apoio5[[Minecraft Season Pass]:[Minecraft Season Pass2]],2,FALSE)</f>
        <v>6</v>
      </c>
      <c r="T172" s="41">
        <f>SUM(tbl_xbox[[#This Row],[Plan2]:[Minecraft Season Pass2]])</f>
        <v>7</v>
      </c>
      <c r="U172" s="40" t="str">
        <f>VLOOKUP(tbl_xbox[[#This Row],[soma]],tbl_apoio5[[#All],[soma]:[output2]],2,FALSE)</f>
        <v>Minecraft</v>
      </c>
      <c r="V172" s="7"/>
    </row>
    <row r="173" spans="1:22" ht="16.5" customHeight="1" x14ac:dyDescent="0.2">
      <c r="A173" s="4">
        <v>3402</v>
      </c>
      <c r="B173" s="4" t="s">
        <v>189</v>
      </c>
      <c r="C173" s="4" t="s">
        <v>14</v>
      </c>
      <c r="D173" s="6">
        <v>45519</v>
      </c>
      <c r="E173" s="4" t="s">
        <v>11</v>
      </c>
      <c r="F173" s="7">
        <v>5</v>
      </c>
      <c r="G173" s="4" t="s">
        <v>19</v>
      </c>
      <c r="H173" s="4" t="s">
        <v>15</v>
      </c>
      <c r="I173" s="7">
        <v>0</v>
      </c>
      <c r="J173" s="4" t="s">
        <v>15</v>
      </c>
      <c r="K173" s="7">
        <v>0</v>
      </c>
      <c r="L173" s="7">
        <v>0</v>
      </c>
      <c r="M173" s="7">
        <v>5</v>
      </c>
      <c r="N173" s="40" t="str">
        <f>IF(tbl_xbox[[#This Row],[Coupon Value]]=$L$3,"No","Yes")</f>
        <v>No</v>
      </c>
      <c r="O173" s="40" t="str">
        <f>IF(OR(tbl_xbox[[#This Row],[EA Play Season Pass]]="Yes",tbl_xbox[[#This Row],[Minecraft Season Pass]]="Yes"),"Yes","No")</f>
        <v>No</v>
      </c>
      <c r="P173" s="40">
        <f>tbl_xbox[[#This Row],[Subscription Price]]+tbl_xbox[[#This Row],[EA Play Season Pass
Price]]+tbl_xbox[[#This Row],[Minecraft Season Pass Price]]</f>
        <v>5</v>
      </c>
      <c r="Q173" s="41">
        <f>VLOOKUP(tbl_xbox[[#This Row],[Plan]],tbl_apoio5[#All],2,FALSE)</f>
        <v>0</v>
      </c>
      <c r="R173" s="41">
        <f>VLOOKUP(tbl_xbox[[#This Row],[EA Play Season Pass]],tbl_apoio5[[EA Play Season Pass]:[output2]],2,FALSE)</f>
        <v>0</v>
      </c>
      <c r="S173" s="41">
        <f>VLOOKUP(tbl_xbox[[#This Row],[Minecraft Season Pass]],tbl_apoio5[[Minecraft Season Pass]:[Minecraft Season Pass2]],2,FALSE)</f>
        <v>0</v>
      </c>
      <c r="T173" s="41">
        <f>SUM(tbl_xbox[[#This Row],[Plan2]:[Minecraft Season Pass2]])</f>
        <v>0</v>
      </c>
      <c r="U173" s="40" t="str">
        <f>VLOOKUP(tbl_xbox[[#This Row],[soma]],tbl_apoio5[[#All],[soma]:[output2]],2,FALSE)</f>
        <v>No Extras</v>
      </c>
      <c r="V173" s="7"/>
    </row>
    <row r="174" spans="1:22" ht="16.5" customHeight="1" x14ac:dyDescent="0.2">
      <c r="A174" s="4">
        <v>3403</v>
      </c>
      <c r="B174" s="4" t="s">
        <v>190</v>
      </c>
      <c r="C174" s="4" t="s">
        <v>10</v>
      </c>
      <c r="D174" s="6">
        <v>45520</v>
      </c>
      <c r="E174" s="4" t="s">
        <v>15</v>
      </c>
      <c r="F174" s="7">
        <v>15</v>
      </c>
      <c r="G174" s="4" t="s">
        <v>12</v>
      </c>
      <c r="H174" s="4" t="s">
        <v>11</v>
      </c>
      <c r="I174" s="7">
        <v>30</v>
      </c>
      <c r="J174" s="4" t="s">
        <v>11</v>
      </c>
      <c r="K174" s="7">
        <v>20</v>
      </c>
      <c r="L174" s="7">
        <v>3</v>
      </c>
      <c r="M174" s="7">
        <v>62</v>
      </c>
      <c r="N174" s="40" t="str">
        <f>IF(tbl_xbox[[#This Row],[Coupon Value]]=$L$3,"No","Yes")</f>
        <v>Yes</v>
      </c>
      <c r="O174" s="40" t="str">
        <f>IF(OR(tbl_xbox[[#This Row],[EA Play Season Pass]]="Yes",tbl_xbox[[#This Row],[Minecraft Season Pass]]="Yes"),"Yes","No")</f>
        <v>Yes</v>
      </c>
      <c r="P174" s="40">
        <f>tbl_xbox[[#This Row],[Subscription Price]]+tbl_xbox[[#This Row],[EA Play Season Pass
Price]]+tbl_xbox[[#This Row],[Minecraft Season Pass Price]]</f>
        <v>65</v>
      </c>
      <c r="Q174" s="41">
        <f>VLOOKUP(tbl_xbox[[#This Row],[Plan]],tbl_apoio5[#All],2,FALSE)</f>
        <v>2</v>
      </c>
      <c r="R174" s="41">
        <f>VLOOKUP(tbl_xbox[[#This Row],[EA Play Season Pass]],tbl_apoio5[[EA Play Season Pass]:[output2]],2,FALSE)</f>
        <v>3</v>
      </c>
      <c r="S174" s="41">
        <f>VLOOKUP(tbl_xbox[[#This Row],[Minecraft Season Pass]],tbl_apoio5[[Minecraft Season Pass]:[Minecraft Season Pass2]],2,FALSE)</f>
        <v>6</v>
      </c>
      <c r="T174" s="41">
        <f>SUM(tbl_xbox[[#This Row],[Plan2]:[Minecraft Season Pass2]])</f>
        <v>11</v>
      </c>
      <c r="U174" s="40" t="str">
        <f>VLOOKUP(tbl_xbox[[#This Row],[soma]],tbl_apoio5[[#All],[soma]:[output2]],2,FALSE)</f>
        <v>EA Play + Minecraft</v>
      </c>
      <c r="V174" s="7"/>
    </row>
    <row r="175" spans="1:22" ht="16.5" customHeight="1" x14ac:dyDescent="0.2">
      <c r="A175" s="4">
        <v>3404</v>
      </c>
      <c r="B175" s="4" t="s">
        <v>191</v>
      </c>
      <c r="C175" s="4" t="s">
        <v>18</v>
      </c>
      <c r="D175" s="6">
        <v>45521</v>
      </c>
      <c r="E175" s="4" t="s">
        <v>11</v>
      </c>
      <c r="F175" s="7">
        <v>10</v>
      </c>
      <c r="G175" s="4" t="s">
        <v>16</v>
      </c>
      <c r="H175" s="4" t="s">
        <v>15</v>
      </c>
      <c r="I175" s="7">
        <v>0</v>
      </c>
      <c r="J175" s="4" t="s">
        <v>11</v>
      </c>
      <c r="K175" s="7">
        <v>20</v>
      </c>
      <c r="L175" s="7">
        <v>15</v>
      </c>
      <c r="M175" s="7">
        <v>15</v>
      </c>
      <c r="N175" s="40" t="str">
        <f>IF(tbl_xbox[[#This Row],[Coupon Value]]=$L$3,"No","Yes")</f>
        <v>Yes</v>
      </c>
      <c r="O175" s="40" t="str">
        <f>IF(OR(tbl_xbox[[#This Row],[EA Play Season Pass]]="Yes",tbl_xbox[[#This Row],[Minecraft Season Pass]]="Yes"),"Yes","No")</f>
        <v>Yes</v>
      </c>
      <c r="P175" s="40">
        <f>tbl_xbox[[#This Row],[Subscription Price]]+tbl_xbox[[#This Row],[EA Play Season Pass
Price]]+tbl_xbox[[#This Row],[Minecraft Season Pass Price]]</f>
        <v>30</v>
      </c>
      <c r="Q175" s="41">
        <f>VLOOKUP(tbl_xbox[[#This Row],[Plan]],tbl_apoio5[#All],2,FALSE)</f>
        <v>1</v>
      </c>
      <c r="R175" s="41">
        <f>VLOOKUP(tbl_xbox[[#This Row],[EA Play Season Pass]],tbl_apoio5[[EA Play Season Pass]:[output2]],2,FALSE)</f>
        <v>0</v>
      </c>
      <c r="S175" s="41">
        <f>VLOOKUP(tbl_xbox[[#This Row],[Minecraft Season Pass]],tbl_apoio5[[Minecraft Season Pass]:[Minecraft Season Pass2]],2,FALSE)</f>
        <v>6</v>
      </c>
      <c r="T175" s="41">
        <f>SUM(tbl_xbox[[#This Row],[Plan2]:[Minecraft Season Pass2]])</f>
        <v>7</v>
      </c>
      <c r="U175" s="40" t="str">
        <f>VLOOKUP(tbl_xbox[[#This Row],[soma]],tbl_apoio5[[#All],[soma]:[output2]],2,FALSE)</f>
        <v>Minecraft</v>
      </c>
      <c r="V175" s="7"/>
    </row>
    <row r="176" spans="1:22" ht="16.5" customHeight="1" x14ac:dyDescent="0.2">
      <c r="A176" s="4">
        <v>3405</v>
      </c>
      <c r="B176" s="4" t="s">
        <v>192</v>
      </c>
      <c r="C176" s="4" t="s">
        <v>14</v>
      </c>
      <c r="D176" s="6">
        <v>45522</v>
      </c>
      <c r="E176" s="4" t="s">
        <v>15</v>
      </c>
      <c r="F176" s="7">
        <v>5</v>
      </c>
      <c r="G176" s="4" t="s">
        <v>12</v>
      </c>
      <c r="H176" s="4" t="s">
        <v>15</v>
      </c>
      <c r="I176" s="7">
        <v>0</v>
      </c>
      <c r="J176" s="4" t="s">
        <v>15</v>
      </c>
      <c r="K176" s="7">
        <v>0</v>
      </c>
      <c r="L176" s="7">
        <v>1</v>
      </c>
      <c r="M176" s="7">
        <v>4</v>
      </c>
      <c r="N176" s="40" t="str">
        <f>IF(tbl_xbox[[#This Row],[Coupon Value]]=$L$3,"No","Yes")</f>
        <v>Yes</v>
      </c>
      <c r="O176" s="40" t="str">
        <f>IF(OR(tbl_xbox[[#This Row],[EA Play Season Pass]]="Yes",tbl_xbox[[#This Row],[Minecraft Season Pass]]="Yes"),"Yes","No")</f>
        <v>No</v>
      </c>
      <c r="P176" s="40">
        <f>tbl_xbox[[#This Row],[Subscription Price]]+tbl_xbox[[#This Row],[EA Play Season Pass
Price]]+tbl_xbox[[#This Row],[Minecraft Season Pass Price]]</f>
        <v>5</v>
      </c>
      <c r="Q176" s="41">
        <f>VLOOKUP(tbl_xbox[[#This Row],[Plan]],tbl_apoio5[#All],2,FALSE)</f>
        <v>0</v>
      </c>
      <c r="R176" s="41">
        <f>VLOOKUP(tbl_xbox[[#This Row],[EA Play Season Pass]],tbl_apoio5[[EA Play Season Pass]:[output2]],2,FALSE)</f>
        <v>0</v>
      </c>
      <c r="S176" s="41">
        <f>VLOOKUP(tbl_xbox[[#This Row],[Minecraft Season Pass]],tbl_apoio5[[Minecraft Season Pass]:[Minecraft Season Pass2]],2,FALSE)</f>
        <v>0</v>
      </c>
      <c r="T176" s="41">
        <f>SUM(tbl_xbox[[#This Row],[Plan2]:[Minecraft Season Pass2]])</f>
        <v>0</v>
      </c>
      <c r="U176" s="40" t="str">
        <f>VLOOKUP(tbl_xbox[[#This Row],[soma]],tbl_apoio5[[#All],[soma]:[output2]],2,FALSE)</f>
        <v>No Extras</v>
      </c>
      <c r="V176" s="7"/>
    </row>
    <row r="177" spans="1:22" ht="16.5" customHeight="1" x14ac:dyDescent="0.2">
      <c r="A177" s="4">
        <v>3406</v>
      </c>
      <c r="B177" s="4" t="s">
        <v>193</v>
      </c>
      <c r="C177" s="4" t="s">
        <v>14</v>
      </c>
      <c r="D177" s="6">
        <v>45523</v>
      </c>
      <c r="E177" s="4" t="s">
        <v>11</v>
      </c>
      <c r="F177" s="7">
        <v>5</v>
      </c>
      <c r="G177" s="4" t="s">
        <v>12</v>
      </c>
      <c r="H177" s="4" t="s">
        <v>15</v>
      </c>
      <c r="I177" s="7">
        <v>0</v>
      </c>
      <c r="J177" s="4" t="s">
        <v>15</v>
      </c>
      <c r="K177" s="7">
        <v>0</v>
      </c>
      <c r="L177" s="7">
        <v>0</v>
      </c>
      <c r="M177" s="7">
        <v>5</v>
      </c>
      <c r="N177" s="40" t="str">
        <f>IF(tbl_xbox[[#This Row],[Coupon Value]]=$L$3,"No","Yes")</f>
        <v>No</v>
      </c>
      <c r="O177" s="40" t="str">
        <f>IF(OR(tbl_xbox[[#This Row],[EA Play Season Pass]]="Yes",tbl_xbox[[#This Row],[Minecraft Season Pass]]="Yes"),"Yes","No")</f>
        <v>No</v>
      </c>
      <c r="P177" s="40">
        <f>tbl_xbox[[#This Row],[Subscription Price]]+tbl_xbox[[#This Row],[EA Play Season Pass
Price]]+tbl_xbox[[#This Row],[Minecraft Season Pass Price]]</f>
        <v>5</v>
      </c>
      <c r="Q177" s="41">
        <f>VLOOKUP(tbl_xbox[[#This Row],[Plan]],tbl_apoio5[#All],2,FALSE)</f>
        <v>0</v>
      </c>
      <c r="R177" s="41">
        <f>VLOOKUP(tbl_xbox[[#This Row],[EA Play Season Pass]],tbl_apoio5[[EA Play Season Pass]:[output2]],2,FALSE)</f>
        <v>0</v>
      </c>
      <c r="S177" s="41">
        <f>VLOOKUP(tbl_xbox[[#This Row],[Minecraft Season Pass]],tbl_apoio5[[Minecraft Season Pass]:[Minecraft Season Pass2]],2,FALSE)</f>
        <v>0</v>
      </c>
      <c r="T177" s="41">
        <f>SUM(tbl_xbox[[#This Row],[Plan2]:[Minecraft Season Pass2]])</f>
        <v>0</v>
      </c>
      <c r="U177" s="40" t="str">
        <f>VLOOKUP(tbl_xbox[[#This Row],[soma]],tbl_apoio5[[#All],[soma]:[output2]],2,FALSE)</f>
        <v>No Extras</v>
      </c>
      <c r="V177" s="7"/>
    </row>
    <row r="178" spans="1:22" ht="16.5" customHeight="1" x14ac:dyDescent="0.2">
      <c r="A178" s="4">
        <v>3407</v>
      </c>
      <c r="B178" s="4" t="s">
        <v>194</v>
      </c>
      <c r="C178" s="4" t="s">
        <v>10</v>
      </c>
      <c r="D178" s="6">
        <v>45524</v>
      </c>
      <c r="E178" s="4" t="s">
        <v>15</v>
      </c>
      <c r="F178" s="7">
        <v>15</v>
      </c>
      <c r="G178" s="4" t="s">
        <v>19</v>
      </c>
      <c r="H178" s="4" t="s">
        <v>11</v>
      </c>
      <c r="I178" s="7">
        <v>30</v>
      </c>
      <c r="J178" s="4" t="s">
        <v>11</v>
      </c>
      <c r="K178" s="7">
        <v>20</v>
      </c>
      <c r="L178" s="7">
        <v>7</v>
      </c>
      <c r="M178" s="7">
        <v>58</v>
      </c>
      <c r="N178" s="40" t="str">
        <f>IF(tbl_xbox[[#This Row],[Coupon Value]]=$L$3,"No","Yes")</f>
        <v>Yes</v>
      </c>
      <c r="O178" s="40" t="str">
        <f>IF(OR(tbl_xbox[[#This Row],[EA Play Season Pass]]="Yes",tbl_xbox[[#This Row],[Minecraft Season Pass]]="Yes"),"Yes","No")</f>
        <v>Yes</v>
      </c>
      <c r="P178" s="40">
        <f>tbl_xbox[[#This Row],[Subscription Price]]+tbl_xbox[[#This Row],[EA Play Season Pass
Price]]+tbl_xbox[[#This Row],[Minecraft Season Pass Price]]</f>
        <v>65</v>
      </c>
      <c r="Q178" s="41">
        <f>VLOOKUP(tbl_xbox[[#This Row],[Plan]],tbl_apoio5[#All],2,FALSE)</f>
        <v>2</v>
      </c>
      <c r="R178" s="41">
        <f>VLOOKUP(tbl_xbox[[#This Row],[EA Play Season Pass]],tbl_apoio5[[EA Play Season Pass]:[output2]],2,FALSE)</f>
        <v>3</v>
      </c>
      <c r="S178" s="41">
        <f>VLOOKUP(tbl_xbox[[#This Row],[Minecraft Season Pass]],tbl_apoio5[[Minecraft Season Pass]:[Minecraft Season Pass2]],2,FALSE)</f>
        <v>6</v>
      </c>
      <c r="T178" s="41">
        <f>SUM(tbl_xbox[[#This Row],[Plan2]:[Minecraft Season Pass2]])</f>
        <v>11</v>
      </c>
      <c r="U178" s="40" t="str">
        <f>VLOOKUP(tbl_xbox[[#This Row],[soma]],tbl_apoio5[[#All],[soma]:[output2]],2,FALSE)</f>
        <v>EA Play + Minecraft</v>
      </c>
      <c r="V178" s="7"/>
    </row>
    <row r="179" spans="1:22" ht="16.5" customHeight="1" x14ac:dyDescent="0.2">
      <c r="A179" s="4">
        <v>3408</v>
      </c>
      <c r="B179" s="4" t="s">
        <v>195</v>
      </c>
      <c r="C179" s="4" t="s">
        <v>18</v>
      </c>
      <c r="D179" s="6">
        <v>45525</v>
      </c>
      <c r="E179" s="4" t="s">
        <v>11</v>
      </c>
      <c r="F179" s="7">
        <v>10</v>
      </c>
      <c r="G179" s="4" t="s">
        <v>16</v>
      </c>
      <c r="H179" s="4" t="s">
        <v>15</v>
      </c>
      <c r="I179" s="7">
        <v>0</v>
      </c>
      <c r="J179" s="4" t="s">
        <v>11</v>
      </c>
      <c r="K179" s="7">
        <v>20</v>
      </c>
      <c r="L179" s="7">
        <v>10</v>
      </c>
      <c r="M179" s="7">
        <v>20</v>
      </c>
      <c r="N179" s="40" t="str">
        <f>IF(tbl_xbox[[#This Row],[Coupon Value]]=$L$3,"No","Yes")</f>
        <v>Yes</v>
      </c>
      <c r="O179" s="40" t="str">
        <f>IF(OR(tbl_xbox[[#This Row],[EA Play Season Pass]]="Yes",tbl_xbox[[#This Row],[Minecraft Season Pass]]="Yes"),"Yes","No")</f>
        <v>Yes</v>
      </c>
      <c r="P179" s="40">
        <f>tbl_xbox[[#This Row],[Subscription Price]]+tbl_xbox[[#This Row],[EA Play Season Pass
Price]]+tbl_xbox[[#This Row],[Minecraft Season Pass Price]]</f>
        <v>30</v>
      </c>
      <c r="Q179" s="41">
        <f>VLOOKUP(tbl_xbox[[#This Row],[Plan]],tbl_apoio5[#All],2,FALSE)</f>
        <v>1</v>
      </c>
      <c r="R179" s="41">
        <f>VLOOKUP(tbl_xbox[[#This Row],[EA Play Season Pass]],tbl_apoio5[[EA Play Season Pass]:[output2]],2,FALSE)</f>
        <v>0</v>
      </c>
      <c r="S179" s="41">
        <f>VLOOKUP(tbl_xbox[[#This Row],[Minecraft Season Pass]],tbl_apoio5[[Minecraft Season Pass]:[Minecraft Season Pass2]],2,FALSE)</f>
        <v>6</v>
      </c>
      <c r="T179" s="41">
        <f>SUM(tbl_xbox[[#This Row],[Plan2]:[Minecraft Season Pass2]])</f>
        <v>7</v>
      </c>
      <c r="U179" s="40" t="str">
        <f>VLOOKUP(tbl_xbox[[#This Row],[soma]],tbl_apoio5[[#All],[soma]:[output2]],2,FALSE)</f>
        <v>Minecraft</v>
      </c>
      <c r="V179" s="7"/>
    </row>
    <row r="180" spans="1:22" ht="16.5" customHeight="1" x14ac:dyDescent="0.2">
      <c r="A180" s="4">
        <v>3409</v>
      </c>
      <c r="B180" s="4" t="s">
        <v>196</v>
      </c>
      <c r="C180" s="4" t="s">
        <v>14</v>
      </c>
      <c r="D180" s="6">
        <v>45526</v>
      </c>
      <c r="E180" s="4" t="s">
        <v>15</v>
      </c>
      <c r="F180" s="7">
        <v>5</v>
      </c>
      <c r="G180" s="4" t="s">
        <v>19</v>
      </c>
      <c r="H180" s="4" t="s">
        <v>15</v>
      </c>
      <c r="I180" s="7">
        <v>0</v>
      </c>
      <c r="J180" s="4" t="s">
        <v>15</v>
      </c>
      <c r="K180" s="7">
        <v>0</v>
      </c>
      <c r="L180" s="7">
        <v>1</v>
      </c>
      <c r="M180" s="7">
        <v>4</v>
      </c>
      <c r="N180" s="40" t="str">
        <f>IF(tbl_xbox[[#This Row],[Coupon Value]]=$L$3,"No","Yes")</f>
        <v>Yes</v>
      </c>
      <c r="O180" s="40" t="str">
        <f>IF(OR(tbl_xbox[[#This Row],[EA Play Season Pass]]="Yes",tbl_xbox[[#This Row],[Minecraft Season Pass]]="Yes"),"Yes","No")</f>
        <v>No</v>
      </c>
      <c r="P180" s="40">
        <f>tbl_xbox[[#This Row],[Subscription Price]]+tbl_xbox[[#This Row],[EA Play Season Pass
Price]]+tbl_xbox[[#This Row],[Minecraft Season Pass Price]]</f>
        <v>5</v>
      </c>
      <c r="Q180" s="41">
        <f>VLOOKUP(tbl_xbox[[#This Row],[Plan]],tbl_apoio5[#All],2,FALSE)</f>
        <v>0</v>
      </c>
      <c r="R180" s="41">
        <f>VLOOKUP(tbl_xbox[[#This Row],[EA Play Season Pass]],tbl_apoio5[[EA Play Season Pass]:[output2]],2,FALSE)</f>
        <v>0</v>
      </c>
      <c r="S180" s="41">
        <f>VLOOKUP(tbl_xbox[[#This Row],[Minecraft Season Pass]],tbl_apoio5[[Minecraft Season Pass]:[Minecraft Season Pass2]],2,FALSE)</f>
        <v>0</v>
      </c>
      <c r="T180" s="41">
        <f>SUM(tbl_xbox[[#This Row],[Plan2]:[Minecraft Season Pass2]])</f>
        <v>0</v>
      </c>
      <c r="U180" s="40" t="str">
        <f>VLOOKUP(tbl_xbox[[#This Row],[soma]],tbl_apoio5[[#All],[soma]:[output2]],2,FALSE)</f>
        <v>No Extras</v>
      </c>
      <c r="V180" s="7"/>
    </row>
    <row r="181" spans="1:22" ht="16.5" customHeight="1" x14ac:dyDescent="0.2">
      <c r="A181" s="4">
        <v>3410</v>
      </c>
      <c r="B181" s="4" t="s">
        <v>197</v>
      </c>
      <c r="C181" s="4" t="s">
        <v>10</v>
      </c>
      <c r="D181" s="6">
        <v>45527</v>
      </c>
      <c r="E181" s="4" t="s">
        <v>11</v>
      </c>
      <c r="F181" s="7">
        <v>15</v>
      </c>
      <c r="G181" s="4" t="s">
        <v>12</v>
      </c>
      <c r="H181" s="4" t="s">
        <v>11</v>
      </c>
      <c r="I181" s="7">
        <v>30</v>
      </c>
      <c r="J181" s="4" t="s">
        <v>11</v>
      </c>
      <c r="K181" s="7">
        <v>20</v>
      </c>
      <c r="L181" s="7">
        <v>15</v>
      </c>
      <c r="M181" s="7">
        <v>50</v>
      </c>
      <c r="N181" s="40" t="str">
        <f>IF(tbl_xbox[[#This Row],[Coupon Value]]=$L$3,"No","Yes")</f>
        <v>Yes</v>
      </c>
      <c r="O181" s="40" t="str">
        <f>IF(OR(tbl_xbox[[#This Row],[EA Play Season Pass]]="Yes",tbl_xbox[[#This Row],[Minecraft Season Pass]]="Yes"),"Yes","No")</f>
        <v>Yes</v>
      </c>
      <c r="P181" s="40">
        <f>tbl_xbox[[#This Row],[Subscription Price]]+tbl_xbox[[#This Row],[EA Play Season Pass
Price]]+tbl_xbox[[#This Row],[Minecraft Season Pass Price]]</f>
        <v>65</v>
      </c>
      <c r="Q181" s="41">
        <f>VLOOKUP(tbl_xbox[[#This Row],[Plan]],tbl_apoio5[#All],2,FALSE)</f>
        <v>2</v>
      </c>
      <c r="R181" s="41">
        <f>VLOOKUP(tbl_xbox[[#This Row],[EA Play Season Pass]],tbl_apoio5[[EA Play Season Pass]:[output2]],2,FALSE)</f>
        <v>3</v>
      </c>
      <c r="S181" s="41">
        <f>VLOOKUP(tbl_xbox[[#This Row],[Minecraft Season Pass]],tbl_apoio5[[Minecraft Season Pass]:[Minecraft Season Pass2]],2,FALSE)</f>
        <v>6</v>
      </c>
      <c r="T181" s="41">
        <f>SUM(tbl_xbox[[#This Row],[Plan2]:[Minecraft Season Pass2]])</f>
        <v>11</v>
      </c>
      <c r="U181" s="40" t="str">
        <f>VLOOKUP(tbl_xbox[[#This Row],[soma]],tbl_apoio5[[#All],[soma]:[output2]],2,FALSE)</f>
        <v>EA Play + Minecraft</v>
      </c>
      <c r="V181" s="7"/>
    </row>
    <row r="182" spans="1:22" ht="16.5" customHeight="1" x14ac:dyDescent="0.2">
      <c r="A182" s="4">
        <v>3411</v>
      </c>
      <c r="B182" s="4" t="s">
        <v>198</v>
      </c>
      <c r="C182" s="4" t="s">
        <v>18</v>
      </c>
      <c r="D182" s="6">
        <v>45528</v>
      </c>
      <c r="E182" s="4" t="s">
        <v>15</v>
      </c>
      <c r="F182" s="7">
        <v>10</v>
      </c>
      <c r="G182" s="4" t="s">
        <v>12</v>
      </c>
      <c r="H182" s="4" t="s">
        <v>15</v>
      </c>
      <c r="I182" s="7">
        <v>0</v>
      </c>
      <c r="J182" s="4" t="s">
        <v>11</v>
      </c>
      <c r="K182" s="7">
        <v>20</v>
      </c>
      <c r="L182" s="7">
        <v>5</v>
      </c>
      <c r="M182" s="7">
        <v>25</v>
      </c>
      <c r="N182" s="40" t="str">
        <f>IF(tbl_xbox[[#This Row],[Coupon Value]]=$L$3,"No","Yes")</f>
        <v>Yes</v>
      </c>
      <c r="O182" s="40" t="str">
        <f>IF(OR(tbl_xbox[[#This Row],[EA Play Season Pass]]="Yes",tbl_xbox[[#This Row],[Minecraft Season Pass]]="Yes"),"Yes","No")</f>
        <v>Yes</v>
      </c>
      <c r="P182" s="40">
        <f>tbl_xbox[[#This Row],[Subscription Price]]+tbl_xbox[[#This Row],[EA Play Season Pass
Price]]+tbl_xbox[[#This Row],[Minecraft Season Pass Price]]</f>
        <v>30</v>
      </c>
      <c r="Q182" s="41">
        <f>VLOOKUP(tbl_xbox[[#This Row],[Plan]],tbl_apoio5[#All],2,FALSE)</f>
        <v>1</v>
      </c>
      <c r="R182" s="41">
        <f>VLOOKUP(tbl_xbox[[#This Row],[EA Play Season Pass]],tbl_apoio5[[EA Play Season Pass]:[output2]],2,FALSE)</f>
        <v>0</v>
      </c>
      <c r="S182" s="41">
        <f>VLOOKUP(tbl_xbox[[#This Row],[Minecraft Season Pass]],tbl_apoio5[[Minecraft Season Pass]:[Minecraft Season Pass2]],2,FALSE)</f>
        <v>6</v>
      </c>
      <c r="T182" s="41">
        <f>SUM(tbl_xbox[[#This Row],[Plan2]:[Minecraft Season Pass2]])</f>
        <v>7</v>
      </c>
      <c r="U182" s="40" t="str">
        <f>VLOOKUP(tbl_xbox[[#This Row],[soma]],tbl_apoio5[[#All],[soma]:[output2]],2,FALSE)</f>
        <v>Minecraft</v>
      </c>
      <c r="V182" s="7"/>
    </row>
    <row r="183" spans="1:22" ht="16.5" customHeight="1" x14ac:dyDescent="0.2">
      <c r="A183" s="4">
        <v>3412</v>
      </c>
      <c r="B183" s="4" t="s">
        <v>199</v>
      </c>
      <c r="C183" s="4" t="s">
        <v>14</v>
      </c>
      <c r="D183" s="6">
        <v>45529</v>
      </c>
      <c r="E183" s="4" t="s">
        <v>11</v>
      </c>
      <c r="F183" s="7">
        <v>5</v>
      </c>
      <c r="G183" s="4" t="s">
        <v>16</v>
      </c>
      <c r="H183" s="4" t="s">
        <v>15</v>
      </c>
      <c r="I183" s="7">
        <v>0</v>
      </c>
      <c r="J183" s="4" t="s">
        <v>15</v>
      </c>
      <c r="K183" s="7">
        <v>0</v>
      </c>
      <c r="L183" s="7">
        <v>0</v>
      </c>
      <c r="M183" s="7">
        <v>5</v>
      </c>
      <c r="N183" s="40" t="str">
        <f>IF(tbl_xbox[[#This Row],[Coupon Value]]=$L$3,"No","Yes")</f>
        <v>No</v>
      </c>
      <c r="O183" s="40" t="str">
        <f>IF(OR(tbl_xbox[[#This Row],[EA Play Season Pass]]="Yes",tbl_xbox[[#This Row],[Minecraft Season Pass]]="Yes"),"Yes","No")</f>
        <v>No</v>
      </c>
      <c r="P183" s="40">
        <f>tbl_xbox[[#This Row],[Subscription Price]]+tbl_xbox[[#This Row],[EA Play Season Pass
Price]]+tbl_xbox[[#This Row],[Minecraft Season Pass Price]]</f>
        <v>5</v>
      </c>
      <c r="Q183" s="41">
        <f>VLOOKUP(tbl_xbox[[#This Row],[Plan]],tbl_apoio5[#All],2,FALSE)</f>
        <v>0</v>
      </c>
      <c r="R183" s="41">
        <f>VLOOKUP(tbl_xbox[[#This Row],[EA Play Season Pass]],tbl_apoio5[[EA Play Season Pass]:[output2]],2,FALSE)</f>
        <v>0</v>
      </c>
      <c r="S183" s="41">
        <f>VLOOKUP(tbl_xbox[[#This Row],[Minecraft Season Pass]],tbl_apoio5[[Minecraft Season Pass]:[Minecraft Season Pass2]],2,FALSE)</f>
        <v>0</v>
      </c>
      <c r="T183" s="41">
        <f>SUM(tbl_xbox[[#This Row],[Plan2]:[Minecraft Season Pass2]])</f>
        <v>0</v>
      </c>
      <c r="U183" s="40" t="str">
        <f>VLOOKUP(tbl_xbox[[#This Row],[soma]],tbl_apoio5[[#All],[soma]:[output2]],2,FALSE)</f>
        <v>No Extras</v>
      </c>
      <c r="V183" s="7"/>
    </row>
    <row r="184" spans="1:22" ht="16.5" customHeight="1" x14ac:dyDescent="0.2">
      <c r="A184" s="4">
        <v>3413</v>
      </c>
      <c r="B184" s="4" t="s">
        <v>200</v>
      </c>
      <c r="C184" s="4" t="s">
        <v>10</v>
      </c>
      <c r="D184" s="6">
        <v>45530</v>
      </c>
      <c r="E184" s="4" t="s">
        <v>15</v>
      </c>
      <c r="F184" s="7">
        <v>15</v>
      </c>
      <c r="G184" s="4" t="s">
        <v>19</v>
      </c>
      <c r="H184" s="4" t="s">
        <v>11</v>
      </c>
      <c r="I184" s="7">
        <v>30</v>
      </c>
      <c r="J184" s="4" t="s">
        <v>11</v>
      </c>
      <c r="K184" s="7">
        <v>20</v>
      </c>
      <c r="L184" s="7">
        <v>20</v>
      </c>
      <c r="M184" s="7">
        <v>45</v>
      </c>
      <c r="N184" s="40" t="str">
        <f>IF(tbl_xbox[[#This Row],[Coupon Value]]=$L$3,"No","Yes")</f>
        <v>Yes</v>
      </c>
      <c r="O184" s="40" t="str">
        <f>IF(OR(tbl_xbox[[#This Row],[EA Play Season Pass]]="Yes",tbl_xbox[[#This Row],[Minecraft Season Pass]]="Yes"),"Yes","No")</f>
        <v>Yes</v>
      </c>
      <c r="P184" s="40">
        <f>tbl_xbox[[#This Row],[Subscription Price]]+tbl_xbox[[#This Row],[EA Play Season Pass
Price]]+tbl_xbox[[#This Row],[Minecraft Season Pass Price]]</f>
        <v>65</v>
      </c>
      <c r="Q184" s="41">
        <f>VLOOKUP(tbl_xbox[[#This Row],[Plan]],tbl_apoio5[#All],2,FALSE)</f>
        <v>2</v>
      </c>
      <c r="R184" s="41">
        <f>VLOOKUP(tbl_xbox[[#This Row],[EA Play Season Pass]],tbl_apoio5[[EA Play Season Pass]:[output2]],2,FALSE)</f>
        <v>3</v>
      </c>
      <c r="S184" s="41">
        <f>VLOOKUP(tbl_xbox[[#This Row],[Minecraft Season Pass]],tbl_apoio5[[Minecraft Season Pass]:[Minecraft Season Pass2]],2,FALSE)</f>
        <v>6</v>
      </c>
      <c r="T184" s="41">
        <f>SUM(tbl_xbox[[#This Row],[Plan2]:[Minecraft Season Pass2]])</f>
        <v>11</v>
      </c>
      <c r="U184" s="40" t="str">
        <f>VLOOKUP(tbl_xbox[[#This Row],[soma]],tbl_apoio5[[#All],[soma]:[output2]],2,FALSE)</f>
        <v>EA Play + Minecraft</v>
      </c>
      <c r="V184" s="7"/>
    </row>
    <row r="185" spans="1:22" ht="16.5" customHeight="1" x14ac:dyDescent="0.2">
      <c r="A185" s="4">
        <v>3414</v>
      </c>
      <c r="B185" s="4" t="s">
        <v>201</v>
      </c>
      <c r="C185" s="4" t="s">
        <v>18</v>
      </c>
      <c r="D185" s="6">
        <v>45531</v>
      </c>
      <c r="E185" s="4" t="s">
        <v>11</v>
      </c>
      <c r="F185" s="7">
        <v>10</v>
      </c>
      <c r="G185" s="4" t="s">
        <v>19</v>
      </c>
      <c r="H185" s="4" t="s">
        <v>15</v>
      </c>
      <c r="I185" s="7">
        <v>0</v>
      </c>
      <c r="J185" s="4" t="s">
        <v>11</v>
      </c>
      <c r="K185" s="7">
        <v>20</v>
      </c>
      <c r="L185" s="7">
        <v>12</v>
      </c>
      <c r="M185" s="7">
        <v>18</v>
      </c>
      <c r="N185" s="40" t="str">
        <f>IF(tbl_xbox[[#This Row],[Coupon Value]]=$L$3,"No","Yes")</f>
        <v>Yes</v>
      </c>
      <c r="O185" s="40" t="str">
        <f>IF(OR(tbl_xbox[[#This Row],[EA Play Season Pass]]="Yes",tbl_xbox[[#This Row],[Minecraft Season Pass]]="Yes"),"Yes","No")</f>
        <v>Yes</v>
      </c>
      <c r="P185" s="40">
        <f>tbl_xbox[[#This Row],[Subscription Price]]+tbl_xbox[[#This Row],[EA Play Season Pass
Price]]+tbl_xbox[[#This Row],[Minecraft Season Pass Price]]</f>
        <v>30</v>
      </c>
      <c r="Q185" s="41">
        <f>VLOOKUP(tbl_xbox[[#This Row],[Plan]],tbl_apoio5[#All],2,FALSE)</f>
        <v>1</v>
      </c>
      <c r="R185" s="41">
        <f>VLOOKUP(tbl_xbox[[#This Row],[EA Play Season Pass]],tbl_apoio5[[EA Play Season Pass]:[output2]],2,FALSE)</f>
        <v>0</v>
      </c>
      <c r="S185" s="41">
        <f>VLOOKUP(tbl_xbox[[#This Row],[Minecraft Season Pass]],tbl_apoio5[[Minecraft Season Pass]:[Minecraft Season Pass2]],2,FALSE)</f>
        <v>6</v>
      </c>
      <c r="T185" s="41">
        <f>SUM(tbl_xbox[[#This Row],[Plan2]:[Minecraft Season Pass2]])</f>
        <v>7</v>
      </c>
      <c r="U185" s="40" t="str">
        <f>VLOOKUP(tbl_xbox[[#This Row],[soma]],tbl_apoio5[[#All],[soma]:[output2]],2,FALSE)</f>
        <v>Minecraft</v>
      </c>
      <c r="V185" s="7"/>
    </row>
    <row r="186" spans="1:22" ht="16.5" customHeight="1" x14ac:dyDescent="0.2">
      <c r="A186" s="4">
        <v>3415</v>
      </c>
      <c r="B186" s="4" t="s">
        <v>202</v>
      </c>
      <c r="C186" s="4" t="s">
        <v>14</v>
      </c>
      <c r="D186" s="6">
        <v>45532</v>
      </c>
      <c r="E186" s="4" t="s">
        <v>15</v>
      </c>
      <c r="F186" s="7">
        <v>5</v>
      </c>
      <c r="G186" s="4" t="s">
        <v>12</v>
      </c>
      <c r="H186" s="4" t="s">
        <v>15</v>
      </c>
      <c r="I186" s="7">
        <v>0</v>
      </c>
      <c r="J186" s="4" t="s">
        <v>15</v>
      </c>
      <c r="K186" s="7">
        <v>0</v>
      </c>
      <c r="L186" s="7">
        <v>2</v>
      </c>
      <c r="M186" s="7">
        <v>3</v>
      </c>
      <c r="N186" s="40" t="str">
        <f>IF(tbl_xbox[[#This Row],[Coupon Value]]=$L$3,"No","Yes")</f>
        <v>Yes</v>
      </c>
      <c r="O186" s="40" t="str">
        <f>IF(OR(tbl_xbox[[#This Row],[EA Play Season Pass]]="Yes",tbl_xbox[[#This Row],[Minecraft Season Pass]]="Yes"),"Yes","No")</f>
        <v>No</v>
      </c>
      <c r="P186" s="40">
        <f>tbl_xbox[[#This Row],[Subscription Price]]+tbl_xbox[[#This Row],[EA Play Season Pass
Price]]+tbl_xbox[[#This Row],[Minecraft Season Pass Price]]</f>
        <v>5</v>
      </c>
      <c r="Q186" s="41">
        <f>VLOOKUP(tbl_xbox[[#This Row],[Plan]],tbl_apoio5[#All],2,FALSE)</f>
        <v>0</v>
      </c>
      <c r="R186" s="41">
        <f>VLOOKUP(tbl_xbox[[#This Row],[EA Play Season Pass]],tbl_apoio5[[EA Play Season Pass]:[output2]],2,FALSE)</f>
        <v>0</v>
      </c>
      <c r="S186" s="41">
        <f>VLOOKUP(tbl_xbox[[#This Row],[Minecraft Season Pass]],tbl_apoio5[[Minecraft Season Pass]:[Minecraft Season Pass2]],2,FALSE)</f>
        <v>0</v>
      </c>
      <c r="T186" s="41">
        <f>SUM(tbl_xbox[[#This Row],[Plan2]:[Minecraft Season Pass2]])</f>
        <v>0</v>
      </c>
      <c r="U186" s="40" t="str">
        <f>VLOOKUP(tbl_xbox[[#This Row],[soma]],tbl_apoio5[[#All],[soma]:[output2]],2,FALSE)</f>
        <v>No Extras</v>
      </c>
      <c r="V186" s="7"/>
    </row>
    <row r="187" spans="1:22" ht="16.5" customHeight="1" x14ac:dyDescent="0.2">
      <c r="A187" s="4">
        <v>3416</v>
      </c>
      <c r="B187" s="4" t="s">
        <v>203</v>
      </c>
      <c r="C187" s="4" t="s">
        <v>10</v>
      </c>
      <c r="D187" s="6">
        <v>45533</v>
      </c>
      <c r="E187" s="4" t="s">
        <v>11</v>
      </c>
      <c r="F187" s="7">
        <v>15</v>
      </c>
      <c r="G187" s="4" t="s">
        <v>16</v>
      </c>
      <c r="H187" s="4" t="s">
        <v>11</v>
      </c>
      <c r="I187" s="7">
        <v>30</v>
      </c>
      <c r="J187" s="4" t="s">
        <v>11</v>
      </c>
      <c r="K187" s="7">
        <v>20</v>
      </c>
      <c r="L187" s="7">
        <v>5</v>
      </c>
      <c r="M187" s="7">
        <v>60</v>
      </c>
      <c r="N187" s="40" t="str">
        <f>IF(tbl_xbox[[#This Row],[Coupon Value]]=$L$3,"No","Yes")</f>
        <v>Yes</v>
      </c>
      <c r="O187" s="40" t="str">
        <f>IF(OR(tbl_xbox[[#This Row],[EA Play Season Pass]]="Yes",tbl_xbox[[#This Row],[Minecraft Season Pass]]="Yes"),"Yes","No")</f>
        <v>Yes</v>
      </c>
      <c r="P187" s="40">
        <f>tbl_xbox[[#This Row],[Subscription Price]]+tbl_xbox[[#This Row],[EA Play Season Pass
Price]]+tbl_xbox[[#This Row],[Minecraft Season Pass Price]]</f>
        <v>65</v>
      </c>
      <c r="Q187" s="41">
        <f>VLOOKUP(tbl_xbox[[#This Row],[Plan]],tbl_apoio5[#All],2,FALSE)</f>
        <v>2</v>
      </c>
      <c r="R187" s="41">
        <f>VLOOKUP(tbl_xbox[[#This Row],[EA Play Season Pass]],tbl_apoio5[[EA Play Season Pass]:[output2]],2,FALSE)</f>
        <v>3</v>
      </c>
      <c r="S187" s="41">
        <f>VLOOKUP(tbl_xbox[[#This Row],[Minecraft Season Pass]],tbl_apoio5[[Minecraft Season Pass]:[Minecraft Season Pass2]],2,FALSE)</f>
        <v>6</v>
      </c>
      <c r="T187" s="41">
        <f>SUM(tbl_xbox[[#This Row],[Plan2]:[Minecraft Season Pass2]])</f>
        <v>11</v>
      </c>
      <c r="U187" s="40" t="str">
        <f>VLOOKUP(tbl_xbox[[#This Row],[soma]],tbl_apoio5[[#All],[soma]:[output2]],2,FALSE)</f>
        <v>EA Play + Minecraft</v>
      </c>
      <c r="V187" s="7"/>
    </row>
    <row r="188" spans="1:22" ht="16.5" customHeight="1" x14ac:dyDescent="0.2">
      <c r="A188" s="4">
        <v>3417</v>
      </c>
      <c r="B188" s="4" t="s">
        <v>204</v>
      </c>
      <c r="C188" s="4" t="s">
        <v>18</v>
      </c>
      <c r="D188" s="6">
        <v>45534</v>
      </c>
      <c r="E188" s="4" t="s">
        <v>15</v>
      </c>
      <c r="F188" s="7">
        <v>10</v>
      </c>
      <c r="G188" s="4" t="s">
        <v>12</v>
      </c>
      <c r="H188" s="4" t="s">
        <v>15</v>
      </c>
      <c r="I188" s="7">
        <v>0</v>
      </c>
      <c r="J188" s="4" t="s">
        <v>11</v>
      </c>
      <c r="K188" s="7">
        <v>20</v>
      </c>
      <c r="L188" s="7">
        <v>10</v>
      </c>
      <c r="M188" s="7">
        <v>20</v>
      </c>
      <c r="N188" s="40" t="str">
        <f>IF(tbl_xbox[[#This Row],[Coupon Value]]=$L$3,"No","Yes")</f>
        <v>Yes</v>
      </c>
      <c r="O188" s="40" t="str">
        <f>IF(OR(tbl_xbox[[#This Row],[EA Play Season Pass]]="Yes",tbl_xbox[[#This Row],[Minecraft Season Pass]]="Yes"),"Yes","No")</f>
        <v>Yes</v>
      </c>
      <c r="P188" s="40">
        <f>tbl_xbox[[#This Row],[Subscription Price]]+tbl_xbox[[#This Row],[EA Play Season Pass
Price]]+tbl_xbox[[#This Row],[Minecraft Season Pass Price]]</f>
        <v>30</v>
      </c>
      <c r="Q188" s="41">
        <f>VLOOKUP(tbl_xbox[[#This Row],[Plan]],tbl_apoio5[#All],2,FALSE)</f>
        <v>1</v>
      </c>
      <c r="R188" s="41">
        <f>VLOOKUP(tbl_xbox[[#This Row],[EA Play Season Pass]],tbl_apoio5[[EA Play Season Pass]:[output2]],2,FALSE)</f>
        <v>0</v>
      </c>
      <c r="S188" s="41">
        <f>VLOOKUP(tbl_xbox[[#This Row],[Minecraft Season Pass]],tbl_apoio5[[Minecraft Season Pass]:[Minecraft Season Pass2]],2,FALSE)</f>
        <v>6</v>
      </c>
      <c r="T188" s="41">
        <f>SUM(tbl_xbox[[#This Row],[Plan2]:[Minecraft Season Pass2]])</f>
        <v>7</v>
      </c>
      <c r="U188" s="40" t="str">
        <f>VLOOKUP(tbl_xbox[[#This Row],[soma]],tbl_apoio5[[#All],[soma]:[output2]],2,FALSE)</f>
        <v>Minecraft</v>
      </c>
      <c r="V188" s="7"/>
    </row>
    <row r="189" spans="1:22" ht="16.5" customHeight="1" x14ac:dyDescent="0.2">
      <c r="A189" s="4">
        <v>3418</v>
      </c>
      <c r="B189" s="4" t="s">
        <v>205</v>
      </c>
      <c r="C189" s="4" t="s">
        <v>14</v>
      </c>
      <c r="D189" s="6">
        <v>45535</v>
      </c>
      <c r="E189" s="4" t="s">
        <v>11</v>
      </c>
      <c r="F189" s="7">
        <v>5</v>
      </c>
      <c r="G189" s="4" t="s">
        <v>19</v>
      </c>
      <c r="H189" s="4" t="s">
        <v>15</v>
      </c>
      <c r="I189" s="7">
        <v>0</v>
      </c>
      <c r="J189" s="4" t="s">
        <v>15</v>
      </c>
      <c r="K189" s="7">
        <v>0</v>
      </c>
      <c r="L189" s="7">
        <v>0</v>
      </c>
      <c r="M189" s="7">
        <v>5</v>
      </c>
      <c r="N189" s="40" t="str">
        <f>IF(tbl_xbox[[#This Row],[Coupon Value]]=$L$3,"No","Yes")</f>
        <v>No</v>
      </c>
      <c r="O189" s="40" t="str">
        <f>IF(OR(tbl_xbox[[#This Row],[EA Play Season Pass]]="Yes",tbl_xbox[[#This Row],[Minecraft Season Pass]]="Yes"),"Yes","No")</f>
        <v>No</v>
      </c>
      <c r="P189" s="40">
        <f>tbl_xbox[[#This Row],[Subscription Price]]+tbl_xbox[[#This Row],[EA Play Season Pass
Price]]+tbl_xbox[[#This Row],[Minecraft Season Pass Price]]</f>
        <v>5</v>
      </c>
      <c r="Q189" s="41">
        <f>VLOOKUP(tbl_xbox[[#This Row],[Plan]],tbl_apoio5[#All],2,FALSE)</f>
        <v>0</v>
      </c>
      <c r="R189" s="41">
        <f>VLOOKUP(tbl_xbox[[#This Row],[EA Play Season Pass]],tbl_apoio5[[EA Play Season Pass]:[output2]],2,FALSE)</f>
        <v>0</v>
      </c>
      <c r="S189" s="41">
        <f>VLOOKUP(tbl_xbox[[#This Row],[Minecraft Season Pass]],tbl_apoio5[[Minecraft Season Pass]:[Minecraft Season Pass2]],2,FALSE)</f>
        <v>0</v>
      </c>
      <c r="T189" s="41">
        <f>SUM(tbl_xbox[[#This Row],[Plan2]:[Minecraft Season Pass2]])</f>
        <v>0</v>
      </c>
      <c r="U189" s="40" t="str">
        <f>VLOOKUP(tbl_xbox[[#This Row],[soma]],tbl_apoio5[[#All],[soma]:[output2]],2,FALSE)</f>
        <v>No Extras</v>
      </c>
      <c r="V189" s="7"/>
    </row>
    <row r="190" spans="1:22" ht="16.5" customHeight="1" x14ac:dyDescent="0.2">
      <c r="A190" s="4">
        <v>3419</v>
      </c>
      <c r="B190" s="4" t="s">
        <v>206</v>
      </c>
      <c r="C190" s="4" t="s">
        <v>10</v>
      </c>
      <c r="D190" s="6">
        <v>45536</v>
      </c>
      <c r="E190" s="4" t="s">
        <v>15</v>
      </c>
      <c r="F190" s="7">
        <v>15</v>
      </c>
      <c r="G190" s="4" t="s">
        <v>12</v>
      </c>
      <c r="H190" s="4" t="s">
        <v>11</v>
      </c>
      <c r="I190" s="7">
        <v>30</v>
      </c>
      <c r="J190" s="4" t="s">
        <v>11</v>
      </c>
      <c r="K190" s="7">
        <v>20</v>
      </c>
      <c r="L190" s="7">
        <v>3</v>
      </c>
      <c r="M190" s="7">
        <v>62</v>
      </c>
      <c r="N190" s="40" t="str">
        <f>IF(tbl_xbox[[#This Row],[Coupon Value]]=$L$3,"No","Yes")</f>
        <v>Yes</v>
      </c>
      <c r="O190" s="40" t="str">
        <f>IF(OR(tbl_xbox[[#This Row],[EA Play Season Pass]]="Yes",tbl_xbox[[#This Row],[Minecraft Season Pass]]="Yes"),"Yes","No")</f>
        <v>Yes</v>
      </c>
      <c r="P190" s="40">
        <f>tbl_xbox[[#This Row],[Subscription Price]]+tbl_xbox[[#This Row],[EA Play Season Pass
Price]]+tbl_xbox[[#This Row],[Minecraft Season Pass Price]]</f>
        <v>65</v>
      </c>
      <c r="Q190" s="41">
        <f>VLOOKUP(tbl_xbox[[#This Row],[Plan]],tbl_apoio5[#All],2,FALSE)</f>
        <v>2</v>
      </c>
      <c r="R190" s="41">
        <f>VLOOKUP(tbl_xbox[[#This Row],[EA Play Season Pass]],tbl_apoio5[[EA Play Season Pass]:[output2]],2,FALSE)</f>
        <v>3</v>
      </c>
      <c r="S190" s="41">
        <f>VLOOKUP(tbl_xbox[[#This Row],[Minecraft Season Pass]],tbl_apoio5[[Minecraft Season Pass]:[Minecraft Season Pass2]],2,FALSE)</f>
        <v>6</v>
      </c>
      <c r="T190" s="41">
        <f>SUM(tbl_xbox[[#This Row],[Plan2]:[Minecraft Season Pass2]])</f>
        <v>11</v>
      </c>
      <c r="U190" s="40" t="str">
        <f>VLOOKUP(tbl_xbox[[#This Row],[soma]],tbl_apoio5[[#All],[soma]:[output2]],2,FALSE)</f>
        <v>EA Play + Minecraft</v>
      </c>
      <c r="V190" s="7"/>
    </row>
    <row r="191" spans="1:22" ht="16.5" customHeight="1" x14ac:dyDescent="0.2">
      <c r="A191" s="4">
        <v>3420</v>
      </c>
      <c r="B191" s="4" t="s">
        <v>207</v>
      </c>
      <c r="C191" s="4" t="s">
        <v>18</v>
      </c>
      <c r="D191" s="6">
        <v>45537</v>
      </c>
      <c r="E191" s="4" t="s">
        <v>11</v>
      </c>
      <c r="F191" s="7">
        <v>10</v>
      </c>
      <c r="G191" s="4" t="s">
        <v>16</v>
      </c>
      <c r="H191" s="4" t="s">
        <v>15</v>
      </c>
      <c r="I191" s="7">
        <v>0</v>
      </c>
      <c r="J191" s="4" t="s">
        <v>11</v>
      </c>
      <c r="K191" s="7">
        <v>20</v>
      </c>
      <c r="L191" s="7">
        <v>15</v>
      </c>
      <c r="M191" s="7">
        <v>15</v>
      </c>
      <c r="N191" s="40" t="str">
        <f>IF(tbl_xbox[[#This Row],[Coupon Value]]=$L$3,"No","Yes")</f>
        <v>Yes</v>
      </c>
      <c r="O191" s="40" t="str">
        <f>IF(OR(tbl_xbox[[#This Row],[EA Play Season Pass]]="Yes",tbl_xbox[[#This Row],[Minecraft Season Pass]]="Yes"),"Yes","No")</f>
        <v>Yes</v>
      </c>
      <c r="P191" s="40">
        <f>tbl_xbox[[#This Row],[Subscription Price]]+tbl_xbox[[#This Row],[EA Play Season Pass
Price]]+tbl_xbox[[#This Row],[Minecraft Season Pass Price]]</f>
        <v>30</v>
      </c>
      <c r="Q191" s="41">
        <f>VLOOKUP(tbl_xbox[[#This Row],[Plan]],tbl_apoio5[#All],2,FALSE)</f>
        <v>1</v>
      </c>
      <c r="R191" s="41">
        <f>VLOOKUP(tbl_xbox[[#This Row],[EA Play Season Pass]],tbl_apoio5[[EA Play Season Pass]:[output2]],2,FALSE)</f>
        <v>0</v>
      </c>
      <c r="S191" s="41">
        <f>VLOOKUP(tbl_xbox[[#This Row],[Minecraft Season Pass]],tbl_apoio5[[Minecraft Season Pass]:[Minecraft Season Pass2]],2,FALSE)</f>
        <v>6</v>
      </c>
      <c r="T191" s="41">
        <f>SUM(tbl_xbox[[#This Row],[Plan2]:[Minecraft Season Pass2]])</f>
        <v>7</v>
      </c>
      <c r="U191" s="40" t="str">
        <f>VLOOKUP(tbl_xbox[[#This Row],[soma]],tbl_apoio5[[#All],[soma]:[output2]],2,FALSE)</f>
        <v>Minecraft</v>
      </c>
      <c r="V191" s="7"/>
    </row>
    <row r="192" spans="1:22" ht="16.5" customHeight="1" x14ac:dyDescent="0.2">
      <c r="A192" s="4">
        <v>3421</v>
      </c>
      <c r="B192" s="4" t="s">
        <v>36</v>
      </c>
      <c r="C192" s="4" t="s">
        <v>14</v>
      </c>
      <c r="D192" s="6">
        <v>45538</v>
      </c>
      <c r="E192" s="4" t="s">
        <v>15</v>
      </c>
      <c r="F192" s="7">
        <v>5</v>
      </c>
      <c r="G192" s="4" t="s">
        <v>12</v>
      </c>
      <c r="H192" s="4" t="s">
        <v>15</v>
      </c>
      <c r="I192" s="7">
        <v>0</v>
      </c>
      <c r="J192" s="4" t="s">
        <v>15</v>
      </c>
      <c r="K192" s="7">
        <v>0</v>
      </c>
      <c r="L192" s="7">
        <v>1</v>
      </c>
      <c r="M192" s="7">
        <v>4</v>
      </c>
      <c r="N192" s="40" t="str">
        <f>IF(tbl_xbox[[#This Row],[Coupon Value]]=$L$3,"No","Yes")</f>
        <v>Yes</v>
      </c>
      <c r="O192" s="40" t="str">
        <f>IF(OR(tbl_xbox[[#This Row],[EA Play Season Pass]]="Yes",tbl_xbox[[#This Row],[Minecraft Season Pass]]="Yes"),"Yes","No")</f>
        <v>No</v>
      </c>
      <c r="P192" s="40">
        <f>tbl_xbox[[#This Row],[Subscription Price]]+tbl_xbox[[#This Row],[EA Play Season Pass
Price]]+tbl_xbox[[#This Row],[Minecraft Season Pass Price]]</f>
        <v>5</v>
      </c>
      <c r="Q192" s="41">
        <f>VLOOKUP(tbl_xbox[[#This Row],[Plan]],tbl_apoio5[#All],2,FALSE)</f>
        <v>0</v>
      </c>
      <c r="R192" s="41">
        <f>VLOOKUP(tbl_xbox[[#This Row],[EA Play Season Pass]],tbl_apoio5[[EA Play Season Pass]:[output2]],2,FALSE)</f>
        <v>0</v>
      </c>
      <c r="S192" s="41">
        <f>VLOOKUP(tbl_xbox[[#This Row],[Minecraft Season Pass]],tbl_apoio5[[Minecraft Season Pass]:[Minecraft Season Pass2]],2,FALSE)</f>
        <v>0</v>
      </c>
      <c r="T192" s="41">
        <f>SUM(tbl_xbox[[#This Row],[Plan2]:[Minecraft Season Pass2]])</f>
        <v>0</v>
      </c>
      <c r="U192" s="40" t="str">
        <f>VLOOKUP(tbl_xbox[[#This Row],[soma]],tbl_apoio5[[#All],[soma]:[output2]],2,FALSE)</f>
        <v>No Extras</v>
      </c>
      <c r="V192" s="7"/>
    </row>
    <row r="193" spans="1:22" ht="16.5" customHeight="1" x14ac:dyDescent="0.2">
      <c r="A193" s="4">
        <v>3422</v>
      </c>
      <c r="B193" s="4" t="s">
        <v>208</v>
      </c>
      <c r="C193" s="4" t="s">
        <v>10</v>
      </c>
      <c r="D193" s="6">
        <v>45539</v>
      </c>
      <c r="E193" s="4" t="s">
        <v>11</v>
      </c>
      <c r="F193" s="7">
        <v>15</v>
      </c>
      <c r="G193" s="4" t="s">
        <v>19</v>
      </c>
      <c r="H193" s="4" t="s">
        <v>11</v>
      </c>
      <c r="I193" s="7">
        <v>30</v>
      </c>
      <c r="J193" s="4" t="s">
        <v>11</v>
      </c>
      <c r="K193" s="7">
        <v>20</v>
      </c>
      <c r="L193" s="7">
        <v>7</v>
      </c>
      <c r="M193" s="7">
        <v>58</v>
      </c>
      <c r="N193" s="40" t="str">
        <f>IF(tbl_xbox[[#This Row],[Coupon Value]]=$L$3,"No","Yes")</f>
        <v>Yes</v>
      </c>
      <c r="O193" s="40" t="str">
        <f>IF(OR(tbl_xbox[[#This Row],[EA Play Season Pass]]="Yes",tbl_xbox[[#This Row],[Minecraft Season Pass]]="Yes"),"Yes","No")</f>
        <v>Yes</v>
      </c>
      <c r="P193" s="40">
        <f>tbl_xbox[[#This Row],[Subscription Price]]+tbl_xbox[[#This Row],[EA Play Season Pass
Price]]+tbl_xbox[[#This Row],[Minecraft Season Pass Price]]</f>
        <v>65</v>
      </c>
      <c r="Q193" s="41">
        <f>VLOOKUP(tbl_xbox[[#This Row],[Plan]],tbl_apoio5[#All],2,FALSE)</f>
        <v>2</v>
      </c>
      <c r="R193" s="41">
        <f>VLOOKUP(tbl_xbox[[#This Row],[EA Play Season Pass]],tbl_apoio5[[EA Play Season Pass]:[output2]],2,FALSE)</f>
        <v>3</v>
      </c>
      <c r="S193" s="41">
        <f>VLOOKUP(tbl_xbox[[#This Row],[Minecraft Season Pass]],tbl_apoio5[[Minecraft Season Pass]:[Minecraft Season Pass2]],2,FALSE)</f>
        <v>6</v>
      </c>
      <c r="T193" s="41">
        <f>SUM(tbl_xbox[[#This Row],[Plan2]:[Minecraft Season Pass2]])</f>
        <v>11</v>
      </c>
      <c r="U193" s="40" t="str">
        <f>VLOOKUP(tbl_xbox[[#This Row],[soma]],tbl_apoio5[[#All],[soma]:[output2]],2,FALSE)</f>
        <v>EA Play + Minecraft</v>
      </c>
      <c r="V193" s="7"/>
    </row>
    <row r="194" spans="1:22" ht="16.5" customHeight="1" x14ac:dyDescent="0.2">
      <c r="A194" s="4">
        <v>3423</v>
      </c>
      <c r="B194" s="4" t="s">
        <v>209</v>
      </c>
      <c r="C194" s="4" t="s">
        <v>18</v>
      </c>
      <c r="D194" s="6">
        <v>45540</v>
      </c>
      <c r="E194" s="4" t="s">
        <v>15</v>
      </c>
      <c r="F194" s="7">
        <v>10</v>
      </c>
      <c r="G194" s="4" t="s">
        <v>12</v>
      </c>
      <c r="H194" s="4" t="s">
        <v>15</v>
      </c>
      <c r="I194" s="7">
        <v>0</v>
      </c>
      <c r="J194" s="4" t="s">
        <v>11</v>
      </c>
      <c r="K194" s="7">
        <v>20</v>
      </c>
      <c r="L194" s="7">
        <v>10</v>
      </c>
      <c r="M194" s="7">
        <v>20</v>
      </c>
      <c r="N194" s="40" t="str">
        <f>IF(tbl_xbox[[#This Row],[Coupon Value]]=$L$3,"No","Yes")</f>
        <v>Yes</v>
      </c>
      <c r="O194" s="40" t="str">
        <f>IF(OR(tbl_xbox[[#This Row],[EA Play Season Pass]]="Yes",tbl_xbox[[#This Row],[Minecraft Season Pass]]="Yes"),"Yes","No")</f>
        <v>Yes</v>
      </c>
      <c r="P194" s="40">
        <f>tbl_xbox[[#This Row],[Subscription Price]]+tbl_xbox[[#This Row],[EA Play Season Pass
Price]]+tbl_xbox[[#This Row],[Minecraft Season Pass Price]]</f>
        <v>30</v>
      </c>
      <c r="Q194" s="41">
        <f>VLOOKUP(tbl_xbox[[#This Row],[Plan]],tbl_apoio5[#All],2,FALSE)</f>
        <v>1</v>
      </c>
      <c r="R194" s="41">
        <f>VLOOKUP(tbl_xbox[[#This Row],[EA Play Season Pass]],tbl_apoio5[[EA Play Season Pass]:[output2]],2,FALSE)</f>
        <v>0</v>
      </c>
      <c r="S194" s="41">
        <f>VLOOKUP(tbl_xbox[[#This Row],[Minecraft Season Pass]],tbl_apoio5[[Minecraft Season Pass]:[Minecraft Season Pass2]],2,FALSE)</f>
        <v>6</v>
      </c>
      <c r="T194" s="41">
        <f>SUM(tbl_xbox[[#This Row],[Plan2]:[Minecraft Season Pass2]])</f>
        <v>7</v>
      </c>
      <c r="U194" s="40" t="str">
        <f>VLOOKUP(tbl_xbox[[#This Row],[soma]],tbl_apoio5[[#All],[soma]:[output2]],2,FALSE)</f>
        <v>Minecraft</v>
      </c>
      <c r="V194" s="7"/>
    </row>
    <row r="195" spans="1:22" ht="16.5" customHeight="1" x14ac:dyDescent="0.2">
      <c r="A195" s="4">
        <v>3424</v>
      </c>
      <c r="B195" s="4" t="s">
        <v>35</v>
      </c>
      <c r="C195" s="4" t="s">
        <v>14</v>
      </c>
      <c r="D195" s="6">
        <v>45541</v>
      </c>
      <c r="E195" s="4" t="s">
        <v>11</v>
      </c>
      <c r="F195" s="7">
        <v>5</v>
      </c>
      <c r="G195" s="4" t="s">
        <v>16</v>
      </c>
      <c r="H195" s="4" t="s">
        <v>15</v>
      </c>
      <c r="I195" s="7">
        <v>0</v>
      </c>
      <c r="J195" s="4" t="s">
        <v>15</v>
      </c>
      <c r="K195" s="7">
        <v>0</v>
      </c>
      <c r="L195" s="7">
        <v>0</v>
      </c>
      <c r="M195" s="7">
        <v>5</v>
      </c>
      <c r="N195" s="40" t="str">
        <f>IF(tbl_xbox[[#This Row],[Coupon Value]]=$L$3,"No","Yes")</f>
        <v>No</v>
      </c>
      <c r="O195" s="40" t="str">
        <f>IF(OR(tbl_xbox[[#This Row],[EA Play Season Pass]]="Yes",tbl_xbox[[#This Row],[Minecraft Season Pass]]="Yes"),"Yes","No")</f>
        <v>No</v>
      </c>
      <c r="P195" s="40">
        <f>tbl_xbox[[#This Row],[Subscription Price]]+tbl_xbox[[#This Row],[EA Play Season Pass
Price]]+tbl_xbox[[#This Row],[Minecraft Season Pass Price]]</f>
        <v>5</v>
      </c>
      <c r="Q195" s="41">
        <f>VLOOKUP(tbl_xbox[[#This Row],[Plan]],tbl_apoio5[#All],2,FALSE)</f>
        <v>0</v>
      </c>
      <c r="R195" s="41">
        <f>VLOOKUP(tbl_xbox[[#This Row],[EA Play Season Pass]],tbl_apoio5[[EA Play Season Pass]:[output2]],2,FALSE)</f>
        <v>0</v>
      </c>
      <c r="S195" s="41">
        <f>VLOOKUP(tbl_xbox[[#This Row],[Minecraft Season Pass]],tbl_apoio5[[Minecraft Season Pass]:[Minecraft Season Pass2]],2,FALSE)</f>
        <v>0</v>
      </c>
      <c r="T195" s="41">
        <f>SUM(tbl_xbox[[#This Row],[Plan2]:[Minecraft Season Pass2]])</f>
        <v>0</v>
      </c>
      <c r="U195" s="40" t="str">
        <f>VLOOKUP(tbl_xbox[[#This Row],[soma]],tbl_apoio5[[#All],[soma]:[output2]],2,FALSE)</f>
        <v>No Extras</v>
      </c>
      <c r="V195" s="7"/>
    </row>
    <row r="196" spans="1:22" ht="16.5" customHeight="1" x14ac:dyDescent="0.2">
      <c r="A196" s="4">
        <v>3425</v>
      </c>
      <c r="B196" s="4" t="s">
        <v>210</v>
      </c>
      <c r="C196" s="4" t="s">
        <v>10</v>
      </c>
      <c r="D196" s="6">
        <v>45542</v>
      </c>
      <c r="E196" s="4" t="s">
        <v>15</v>
      </c>
      <c r="F196" s="7">
        <v>15</v>
      </c>
      <c r="G196" s="4" t="s">
        <v>12</v>
      </c>
      <c r="H196" s="4" t="s">
        <v>11</v>
      </c>
      <c r="I196" s="7">
        <v>30</v>
      </c>
      <c r="J196" s="4" t="s">
        <v>11</v>
      </c>
      <c r="K196" s="7">
        <v>20</v>
      </c>
      <c r="L196" s="7">
        <v>20</v>
      </c>
      <c r="M196" s="7">
        <v>45</v>
      </c>
      <c r="N196" s="40" t="str">
        <f>IF(tbl_xbox[[#This Row],[Coupon Value]]=$L$3,"No","Yes")</f>
        <v>Yes</v>
      </c>
      <c r="O196" s="40" t="str">
        <f>IF(OR(tbl_xbox[[#This Row],[EA Play Season Pass]]="Yes",tbl_xbox[[#This Row],[Minecraft Season Pass]]="Yes"),"Yes","No")</f>
        <v>Yes</v>
      </c>
      <c r="P196" s="40">
        <f>tbl_xbox[[#This Row],[Subscription Price]]+tbl_xbox[[#This Row],[EA Play Season Pass
Price]]+tbl_xbox[[#This Row],[Minecraft Season Pass Price]]</f>
        <v>65</v>
      </c>
      <c r="Q196" s="41">
        <f>VLOOKUP(tbl_xbox[[#This Row],[Plan]],tbl_apoio5[#All],2,FALSE)</f>
        <v>2</v>
      </c>
      <c r="R196" s="41">
        <f>VLOOKUP(tbl_xbox[[#This Row],[EA Play Season Pass]],tbl_apoio5[[EA Play Season Pass]:[output2]],2,FALSE)</f>
        <v>3</v>
      </c>
      <c r="S196" s="41">
        <f>VLOOKUP(tbl_xbox[[#This Row],[Minecraft Season Pass]],tbl_apoio5[[Minecraft Season Pass]:[Minecraft Season Pass2]],2,FALSE)</f>
        <v>6</v>
      </c>
      <c r="T196" s="41">
        <f>SUM(tbl_xbox[[#This Row],[Plan2]:[Minecraft Season Pass2]])</f>
        <v>11</v>
      </c>
      <c r="U196" s="40" t="str">
        <f>VLOOKUP(tbl_xbox[[#This Row],[soma]],tbl_apoio5[[#All],[soma]:[output2]],2,FALSE)</f>
        <v>EA Play + Minecraft</v>
      </c>
      <c r="V196" s="7"/>
    </row>
    <row r="197" spans="1:22" ht="16.5" customHeight="1" x14ac:dyDescent="0.2">
      <c r="A197" s="4">
        <v>3426</v>
      </c>
      <c r="B197" s="4" t="s">
        <v>188</v>
      </c>
      <c r="C197" s="4" t="s">
        <v>18</v>
      </c>
      <c r="D197" s="6">
        <v>45543</v>
      </c>
      <c r="E197" s="4" t="s">
        <v>11</v>
      </c>
      <c r="F197" s="7">
        <v>10</v>
      </c>
      <c r="G197" s="4" t="s">
        <v>19</v>
      </c>
      <c r="H197" s="4" t="s">
        <v>15</v>
      </c>
      <c r="I197" s="7">
        <v>0</v>
      </c>
      <c r="J197" s="4" t="s">
        <v>11</v>
      </c>
      <c r="K197" s="7">
        <v>20</v>
      </c>
      <c r="L197" s="7">
        <v>15</v>
      </c>
      <c r="M197" s="7">
        <v>15</v>
      </c>
      <c r="N197" s="40" t="str">
        <f>IF(tbl_xbox[[#This Row],[Coupon Value]]=$L$3,"No","Yes")</f>
        <v>Yes</v>
      </c>
      <c r="O197" s="40" t="str">
        <f>IF(OR(tbl_xbox[[#This Row],[EA Play Season Pass]]="Yes",tbl_xbox[[#This Row],[Minecraft Season Pass]]="Yes"),"Yes","No")</f>
        <v>Yes</v>
      </c>
      <c r="P197" s="40">
        <f>tbl_xbox[[#This Row],[Subscription Price]]+tbl_xbox[[#This Row],[EA Play Season Pass
Price]]+tbl_xbox[[#This Row],[Minecraft Season Pass Price]]</f>
        <v>30</v>
      </c>
      <c r="Q197" s="41">
        <f>VLOOKUP(tbl_xbox[[#This Row],[Plan]],tbl_apoio5[#All],2,FALSE)</f>
        <v>1</v>
      </c>
      <c r="R197" s="41">
        <f>VLOOKUP(tbl_xbox[[#This Row],[EA Play Season Pass]],tbl_apoio5[[EA Play Season Pass]:[output2]],2,FALSE)</f>
        <v>0</v>
      </c>
      <c r="S197" s="41">
        <f>VLOOKUP(tbl_xbox[[#This Row],[Minecraft Season Pass]],tbl_apoio5[[Minecraft Season Pass]:[Minecraft Season Pass2]],2,FALSE)</f>
        <v>6</v>
      </c>
      <c r="T197" s="41">
        <f>SUM(tbl_xbox[[#This Row],[Plan2]:[Minecraft Season Pass2]])</f>
        <v>7</v>
      </c>
      <c r="U197" s="40" t="str">
        <f>VLOOKUP(tbl_xbox[[#This Row],[soma]],tbl_apoio5[[#All],[soma]:[output2]],2,FALSE)</f>
        <v>Minecraft</v>
      </c>
      <c r="V197" s="7"/>
    </row>
    <row r="198" spans="1:22" ht="16.5" customHeight="1" x14ac:dyDescent="0.2">
      <c r="A198" s="4">
        <v>3427</v>
      </c>
      <c r="B198" s="4" t="s">
        <v>211</v>
      </c>
      <c r="C198" s="4" t="s">
        <v>14</v>
      </c>
      <c r="D198" s="6">
        <v>45544</v>
      </c>
      <c r="E198" s="4" t="s">
        <v>15</v>
      </c>
      <c r="F198" s="7">
        <v>5</v>
      </c>
      <c r="G198" s="4" t="s">
        <v>12</v>
      </c>
      <c r="H198" s="4" t="s">
        <v>15</v>
      </c>
      <c r="I198" s="7">
        <v>0</v>
      </c>
      <c r="J198" s="4" t="s">
        <v>15</v>
      </c>
      <c r="K198" s="7">
        <v>0</v>
      </c>
      <c r="L198" s="7">
        <v>1</v>
      </c>
      <c r="M198" s="7">
        <v>4</v>
      </c>
      <c r="N198" s="40" t="str">
        <f>IF(tbl_xbox[[#This Row],[Coupon Value]]=$L$3,"No","Yes")</f>
        <v>Yes</v>
      </c>
      <c r="O198" s="40" t="str">
        <f>IF(OR(tbl_xbox[[#This Row],[EA Play Season Pass]]="Yes",tbl_xbox[[#This Row],[Minecraft Season Pass]]="Yes"),"Yes","No")</f>
        <v>No</v>
      </c>
      <c r="P198" s="40">
        <f>tbl_xbox[[#This Row],[Subscription Price]]+tbl_xbox[[#This Row],[EA Play Season Pass
Price]]+tbl_xbox[[#This Row],[Minecraft Season Pass Price]]</f>
        <v>5</v>
      </c>
      <c r="Q198" s="41">
        <f>VLOOKUP(tbl_xbox[[#This Row],[Plan]],tbl_apoio5[#All],2,FALSE)</f>
        <v>0</v>
      </c>
      <c r="R198" s="41">
        <f>VLOOKUP(tbl_xbox[[#This Row],[EA Play Season Pass]],tbl_apoio5[[EA Play Season Pass]:[output2]],2,FALSE)</f>
        <v>0</v>
      </c>
      <c r="S198" s="41">
        <f>VLOOKUP(tbl_xbox[[#This Row],[Minecraft Season Pass]],tbl_apoio5[[Minecraft Season Pass]:[Minecraft Season Pass2]],2,FALSE)</f>
        <v>0</v>
      </c>
      <c r="T198" s="41">
        <f>SUM(tbl_xbox[[#This Row],[Plan2]:[Minecraft Season Pass2]])</f>
        <v>0</v>
      </c>
      <c r="U198" s="40" t="str">
        <f>VLOOKUP(tbl_xbox[[#This Row],[soma]],tbl_apoio5[[#All],[soma]:[output2]],2,FALSE)</f>
        <v>No Extras</v>
      </c>
      <c r="V198" s="7"/>
    </row>
    <row r="199" spans="1:22" ht="16.5" customHeight="1" x14ac:dyDescent="0.2">
      <c r="A199" s="4">
        <v>3428</v>
      </c>
      <c r="B199" s="4" t="s">
        <v>212</v>
      </c>
      <c r="C199" s="4" t="s">
        <v>10</v>
      </c>
      <c r="D199" s="6">
        <v>45545</v>
      </c>
      <c r="E199" s="4" t="s">
        <v>11</v>
      </c>
      <c r="F199" s="7">
        <v>15</v>
      </c>
      <c r="G199" s="4" t="s">
        <v>16</v>
      </c>
      <c r="H199" s="4" t="s">
        <v>11</v>
      </c>
      <c r="I199" s="7">
        <v>30</v>
      </c>
      <c r="J199" s="4" t="s">
        <v>11</v>
      </c>
      <c r="K199" s="7">
        <v>20</v>
      </c>
      <c r="L199" s="7">
        <v>3</v>
      </c>
      <c r="M199" s="7">
        <v>62</v>
      </c>
      <c r="N199" s="40" t="str">
        <f>IF(tbl_xbox[[#This Row],[Coupon Value]]=$L$3,"No","Yes")</f>
        <v>Yes</v>
      </c>
      <c r="O199" s="40" t="str">
        <f>IF(OR(tbl_xbox[[#This Row],[EA Play Season Pass]]="Yes",tbl_xbox[[#This Row],[Minecraft Season Pass]]="Yes"),"Yes","No")</f>
        <v>Yes</v>
      </c>
      <c r="P199" s="40">
        <f>tbl_xbox[[#This Row],[Subscription Price]]+tbl_xbox[[#This Row],[EA Play Season Pass
Price]]+tbl_xbox[[#This Row],[Minecraft Season Pass Price]]</f>
        <v>65</v>
      </c>
      <c r="Q199" s="41">
        <f>VLOOKUP(tbl_xbox[[#This Row],[Plan]],tbl_apoio5[#All],2,FALSE)</f>
        <v>2</v>
      </c>
      <c r="R199" s="41">
        <f>VLOOKUP(tbl_xbox[[#This Row],[EA Play Season Pass]],tbl_apoio5[[EA Play Season Pass]:[output2]],2,FALSE)</f>
        <v>3</v>
      </c>
      <c r="S199" s="41">
        <f>VLOOKUP(tbl_xbox[[#This Row],[Minecraft Season Pass]],tbl_apoio5[[Minecraft Season Pass]:[Minecraft Season Pass2]],2,FALSE)</f>
        <v>6</v>
      </c>
      <c r="T199" s="41">
        <f>SUM(tbl_xbox[[#This Row],[Plan2]:[Minecraft Season Pass2]])</f>
        <v>11</v>
      </c>
      <c r="U199" s="40" t="str">
        <f>VLOOKUP(tbl_xbox[[#This Row],[soma]],tbl_apoio5[[#All],[soma]:[output2]],2,FALSE)</f>
        <v>EA Play + Minecraft</v>
      </c>
      <c r="V199" s="7"/>
    </row>
    <row r="200" spans="1:22" ht="16.5" customHeight="1" x14ac:dyDescent="0.2">
      <c r="A200" s="4">
        <v>3429</v>
      </c>
      <c r="B200" s="4" t="s">
        <v>213</v>
      </c>
      <c r="C200" s="4" t="s">
        <v>18</v>
      </c>
      <c r="D200" s="6">
        <v>45546</v>
      </c>
      <c r="E200" s="4" t="s">
        <v>15</v>
      </c>
      <c r="F200" s="7">
        <v>10</v>
      </c>
      <c r="G200" s="4" t="s">
        <v>12</v>
      </c>
      <c r="H200" s="4" t="s">
        <v>15</v>
      </c>
      <c r="I200" s="7">
        <v>0</v>
      </c>
      <c r="J200" s="4" t="s">
        <v>11</v>
      </c>
      <c r="K200" s="7">
        <v>20</v>
      </c>
      <c r="L200" s="7">
        <v>10</v>
      </c>
      <c r="M200" s="7">
        <v>20</v>
      </c>
      <c r="N200" s="40" t="str">
        <f>IF(tbl_xbox[[#This Row],[Coupon Value]]=$L$3,"No","Yes")</f>
        <v>Yes</v>
      </c>
      <c r="O200" s="40" t="str">
        <f>IF(OR(tbl_xbox[[#This Row],[EA Play Season Pass]]="Yes",tbl_xbox[[#This Row],[Minecraft Season Pass]]="Yes"),"Yes","No")</f>
        <v>Yes</v>
      </c>
      <c r="P200" s="40">
        <f>tbl_xbox[[#This Row],[Subscription Price]]+tbl_xbox[[#This Row],[EA Play Season Pass
Price]]+tbl_xbox[[#This Row],[Minecraft Season Pass Price]]</f>
        <v>30</v>
      </c>
      <c r="Q200" s="41">
        <f>VLOOKUP(tbl_xbox[[#This Row],[Plan]],tbl_apoio5[#All],2,FALSE)</f>
        <v>1</v>
      </c>
      <c r="R200" s="41">
        <f>VLOOKUP(tbl_xbox[[#This Row],[EA Play Season Pass]],tbl_apoio5[[EA Play Season Pass]:[output2]],2,FALSE)</f>
        <v>0</v>
      </c>
      <c r="S200" s="41">
        <f>VLOOKUP(tbl_xbox[[#This Row],[Minecraft Season Pass]],tbl_apoio5[[Minecraft Season Pass]:[Minecraft Season Pass2]],2,FALSE)</f>
        <v>6</v>
      </c>
      <c r="T200" s="41">
        <f>SUM(tbl_xbox[[#This Row],[Plan2]:[Minecraft Season Pass2]])</f>
        <v>7</v>
      </c>
      <c r="U200" s="40" t="str">
        <f>VLOOKUP(tbl_xbox[[#This Row],[soma]],tbl_apoio5[[#All],[soma]:[output2]],2,FALSE)</f>
        <v>Minecraft</v>
      </c>
      <c r="V200" s="7"/>
    </row>
    <row r="201" spans="1:22" ht="16.5" customHeight="1" x14ac:dyDescent="0.2">
      <c r="A201" s="4">
        <v>3430</v>
      </c>
      <c r="B201" s="4" t="s">
        <v>214</v>
      </c>
      <c r="C201" s="4" t="s">
        <v>14</v>
      </c>
      <c r="D201" s="6">
        <v>45547</v>
      </c>
      <c r="E201" s="4" t="s">
        <v>11</v>
      </c>
      <c r="F201" s="7">
        <v>5</v>
      </c>
      <c r="G201" s="4" t="s">
        <v>19</v>
      </c>
      <c r="H201" s="4" t="s">
        <v>15</v>
      </c>
      <c r="I201" s="7">
        <v>0</v>
      </c>
      <c r="J201" s="4" t="s">
        <v>15</v>
      </c>
      <c r="K201" s="7">
        <v>0</v>
      </c>
      <c r="L201" s="7">
        <v>0</v>
      </c>
      <c r="M201" s="7">
        <v>5</v>
      </c>
      <c r="N201" s="40" t="str">
        <f>IF(tbl_xbox[[#This Row],[Coupon Value]]=$L$3,"No","Yes")</f>
        <v>No</v>
      </c>
      <c r="O201" s="40" t="str">
        <f>IF(OR(tbl_xbox[[#This Row],[EA Play Season Pass]]="Yes",tbl_xbox[[#This Row],[Minecraft Season Pass]]="Yes"),"Yes","No")</f>
        <v>No</v>
      </c>
      <c r="P201" s="40">
        <f>tbl_xbox[[#This Row],[Subscription Price]]+tbl_xbox[[#This Row],[EA Play Season Pass
Price]]+tbl_xbox[[#This Row],[Minecraft Season Pass Price]]</f>
        <v>5</v>
      </c>
      <c r="Q201" s="41">
        <f>VLOOKUP(tbl_xbox[[#This Row],[Plan]],tbl_apoio5[#All],2,FALSE)</f>
        <v>0</v>
      </c>
      <c r="R201" s="41">
        <f>VLOOKUP(tbl_xbox[[#This Row],[EA Play Season Pass]],tbl_apoio5[[EA Play Season Pass]:[output2]],2,FALSE)</f>
        <v>0</v>
      </c>
      <c r="S201" s="41">
        <f>VLOOKUP(tbl_xbox[[#This Row],[Minecraft Season Pass]],tbl_apoio5[[Minecraft Season Pass]:[Minecraft Season Pass2]],2,FALSE)</f>
        <v>0</v>
      </c>
      <c r="T201" s="41">
        <f>SUM(tbl_xbox[[#This Row],[Plan2]:[Minecraft Season Pass2]])</f>
        <v>0</v>
      </c>
      <c r="U201" s="40" t="str">
        <f>VLOOKUP(tbl_xbox[[#This Row],[soma]],tbl_apoio5[[#All],[soma]:[output2]],2,FALSE)</f>
        <v>No Extras</v>
      </c>
      <c r="V201" s="7"/>
    </row>
    <row r="202" spans="1:22" ht="16.5" customHeight="1" x14ac:dyDescent="0.2">
      <c r="A202" s="4">
        <v>3431</v>
      </c>
      <c r="B202" s="4" t="s">
        <v>215</v>
      </c>
      <c r="C202" s="4" t="s">
        <v>10</v>
      </c>
      <c r="D202" s="6">
        <v>45548</v>
      </c>
      <c r="E202" s="4" t="s">
        <v>15</v>
      </c>
      <c r="F202" s="7">
        <v>15</v>
      </c>
      <c r="G202" s="4" t="s">
        <v>12</v>
      </c>
      <c r="H202" s="4" t="s">
        <v>11</v>
      </c>
      <c r="I202" s="7">
        <v>30</v>
      </c>
      <c r="J202" s="4" t="s">
        <v>11</v>
      </c>
      <c r="K202" s="7">
        <v>20</v>
      </c>
      <c r="L202" s="7">
        <v>15</v>
      </c>
      <c r="M202" s="7">
        <v>50</v>
      </c>
      <c r="N202" s="40" t="str">
        <f>IF(tbl_xbox[[#This Row],[Coupon Value]]=$L$3,"No","Yes")</f>
        <v>Yes</v>
      </c>
      <c r="O202" s="40" t="str">
        <f>IF(OR(tbl_xbox[[#This Row],[EA Play Season Pass]]="Yes",tbl_xbox[[#This Row],[Minecraft Season Pass]]="Yes"),"Yes","No")</f>
        <v>Yes</v>
      </c>
      <c r="P202" s="40">
        <f>tbl_xbox[[#This Row],[Subscription Price]]+tbl_xbox[[#This Row],[EA Play Season Pass
Price]]+tbl_xbox[[#This Row],[Minecraft Season Pass Price]]</f>
        <v>65</v>
      </c>
      <c r="Q202" s="41">
        <f>VLOOKUP(tbl_xbox[[#This Row],[Plan]],tbl_apoio5[#All],2,FALSE)</f>
        <v>2</v>
      </c>
      <c r="R202" s="41">
        <f>VLOOKUP(tbl_xbox[[#This Row],[EA Play Season Pass]],tbl_apoio5[[EA Play Season Pass]:[output2]],2,FALSE)</f>
        <v>3</v>
      </c>
      <c r="S202" s="41">
        <f>VLOOKUP(tbl_xbox[[#This Row],[Minecraft Season Pass]],tbl_apoio5[[Minecraft Season Pass]:[Minecraft Season Pass2]],2,FALSE)</f>
        <v>6</v>
      </c>
      <c r="T202" s="41">
        <f>SUM(tbl_xbox[[#This Row],[Plan2]:[Minecraft Season Pass2]])</f>
        <v>11</v>
      </c>
      <c r="U202" s="40" t="str">
        <f>VLOOKUP(tbl_xbox[[#This Row],[soma]],tbl_apoio5[[#All],[soma]:[output2]],2,FALSE)</f>
        <v>EA Play + Minecraft</v>
      </c>
      <c r="V202" s="7"/>
    </row>
    <row r="203" spans="1:22" ht="16.5" customHeight="1" x14ac:dyDescent="0.2">
      <c r="A203" s="4">
        <v>3432</v>
      </c>
      <c r="B203" s="4" t="s">
        <v>216</v>
      </c>
      <c r="C203" s="4" t="s">
        <v>18</v>
      </c>
      <c r="D203" s="6">
        <v>45549</v>
      </c>
      <c r="E203" s="4" t="s">
        <v>11</v>
      </c>
      <c r="F203" s="7">
        <v>10</v>
      </c>
      <c r="G203" s="4" t="s">
        <v>16</v>
      </c>
      <c r="H203" s="4" t="s">
        <v>15</v>
      </c>
      <c r="I203" s="7">
        <v>0</v>
      </c>
      <c r="J203" s="4" t="s">
        <v>11</v>
      </c>
      <c r="K203" s="7">
        <v>20</v>
      </c>
      <c r="L203" s="7">
        <v>15</v>
      </c>
      <c r="M203" s="7">
        <v>15</v>
      </c>
      <c r="N203" s="40" t="str">
        <f>IF(tbl_xbox[[#This Row],[Coupon Value]]=$L$3,"No","Yes")</f>
        <v>Yes</v>
      </c>
      <c r="O203" s="40" t="str">
        <f>IF(OR(tbl_xbox[[#This Row],[EA Play Season Pass]]="Yes",tbl_xbox[[#This Row],[Minecraft Season Pass]]="Yes"),"Yes","No")</f>
        <v>Yes</v>
      </c>
      <c r="P203" s="40">
        <f>tbl_xbox[[#This Row],[Subscription Price]]+tbl_xbox[[#This Row],[EA Play Season Pass
Price]]+tbl_xbox[[#This Row],[Minecraft Season Pass Price]]</f>
        <v>30</v>
      </c>
      <c r="Q203" s="41">
        <f>VLOOKUP(tbl_xbox[[#This Row],[Plan]],tbl_apoio5[#All],2,FALSE)</f>
        <v>1</v>
      </c>
      <c r="R203" s="41">
        <f>VLOOKUP(tbl_xbox[[#This Row],[EA Play Season Pass]],tbl_apoio5[[EA Play Season Pass]:[output2]],2,FALSE)</f>
        <v>0</v>
      </c>
      <c r="S203" s="41">
        <f>VLOOKUP(tbl_xbox[[#This Row],[Minecraft Season Pass]],tbl_apoio5[[Minecraft Season Pass]:[Minecraft Season Pass2]],2,FALSE)</f>
        <v>6</v>
      </c>
      <c r="T203" s="41">
        <f>SUM(tbl_xbox[[#This Row],[Plan2]:[Minecraft Season Pass2]])</f>
        <v>7</v>
      </c>
      <c r="U203" s="40" t="str">
        <f>VLOOKUP(tbl_xbox[[#This Row],[soma]],tbl_apoio5[[#All],[soma]:[output2]],2,FALSE)</f>
        <v>Minecraft</v>
      </c>
      <c r="V203" s="7"/>
    </row>
    <row r="204" spans="1:22" ht="16.5" customHeight="1" x14ac:dyDescent="0.2">
      <c r="A204" s="4">
        <v>3433</v>
      </c>
      <c r="B204" s="4" t="s">
        <v>217</v>
      </c>
      <c r="C204" s="4" t="s">
        <v>14</v>
      </c>
      <c r="D204" s="6">
        <v>45550</v>
      </c>
      <c r="E204" s="4" t="s">
        <v>15</v>
      </c>
      <c r="F204" s="7">
        <v>5</v>
      </c>
      <c r="G204" s="4" t="s">
        <v>12</v>
      </c>
      <c r="H204" s="4" t="s">
        <v>15</v>
      </c>
      <c r="I204" s="7">
        <v>0</v>
      </c>
      <c r="J204" s="4" t="s">
        <v>15</v>
      </c>
      <c r="K204" s="7">
        <v>0</v>
      </c>
      <c r="L204" s="7">
        <v>1</v>
      </c>
      <c r="M204" s="7">
        <v>4</v>
      </c>
      <c r="N204" s="40" t="str">
        <f>IF(tbl_xbox[[#This Row],[Coupon Value]]=$L$3,"No","Yes")</f>
        <v>Yes</v>
      </c>
      <c r="O204" s="40" t="str">
        <f>IF(OR(tbl_xbox[[#This Row],[EA Play Season Pass]]="Yes",tbl_xbox[[#This Row],[Minecraft Season Pass]]="Yes"),"Yes","No")</f>
        <v>No</v>
      </c>
      <c r="P204" s="40">
        <f>tbl_xbox[[#This Row],[Subscription Price]]+tbl_xbox[[#This Row],[EA Play Season Pass
Price]]+tbl_xbox[[#This Row],[Minecraft Season Pass Price]]</f>
        <v>5</v>
      </c>
      <c r="Q204" s="41">
        <f>VLOOKUP(tbl_xbox[[#This Row],[Plan]],tbl_apoio5[#All],2,FALSE)</f>
        <v>0</v>
      </c>
      <c r="R204" s="41">
        <f>VLOOKUP(tbl_xbox[[#This Row],[EA Play Season Pass]],tbl_apoio5[[EA Play Season Pass]:[output2]],2,FALSE)</f>
        <v>0</v>
      </c>
      <c r="S204" s="41">
        <f>VLOOKUP(tbl_xbox[[#This Row],[Minecraft Season Pass]],tbl_apoio5[[Minecraft Season Pass]:[Minecraft Season Pass2]],2,FALSE)</f>
        <v>0</v>
      </c>
      <c r="T204" s="41">
        <f>SUM(tbl_xbox[[#This Row],[Plan2]:[Minecraft Season Pass2]])</f>
        <v>0</v>
      </c>
      <c r="U204" s="40" t="str">
        <f>VLOOKUP(tbl_xbox[[#This Row],[soma]],tbl_apoio5[[#All],[soma]:[output2]],2,FALSE)</f>
        <v>No Extras</v>
      </c>
      <c r="V204" s="7"/>
    </row>
    <row r="205" spans="1:22" ht="16.5" customHeight="1" x14ac:dyDescent="0.2">
      <c r="A205" s="4">
        <v>3434</v>
      </c>
      <c r="B205" s="4" t="s">
        <v>218</v>
      </c>
      <c r="C205" s="4" t="s">
        <v>10</v>
      </c>
      <c r="D205" s="6">
        <v>45551</v>
      </c>
      <c r="E205" s="4" t="s">
        <v>11</v>
      </c>
      <c r="F205" s="7">
        <v>15</v>
      </c>
      <c r="G205" s="4" t="s">
        <v>19</v>
      </c>
      <c r="H205" s="4" t="s">
        <v>11</v>
      </c>
      <c r="I205" s="7">
        <v>30</v>
      </c>
      <c r="J205" s="4" t="s">
        <v>11</v>
      </c>
      <c r="K205" s="7">
        <v>20</v>
      </c>
      <c r="L205" s="7">
        <v>7</v>
      </c>
      <c r="M205" s="7">
        <v>58</v>
      </c>
      <c r="N205" s="40" t="str">
        <f>IF(tbl_xbox[[#This Row],[Coupon Value]]=$L$3,"No","Yes")</f>
        <v>Yes</v>
      </c>
      <c r="O205" s="40" t="str">
        <f>IF(OR(tbl_xbox[[#This Row],[EA Play Season Pass]]="Yes",tbl_xbox[[#This Row],[Minecraft Season Pass]]="Yes"),"Yes","No")</f>
        <v>Yes</v>
      </c>
      <c r="P205" s="40">
        <f>tbl_xbox[[#This Row],[Subscription Price]]+tbl_xbox[[#This Row],[EA Play Season Pass
Price]]+tbl_xbox[[#This Row],[Minecraft Season Pass Price]]</f>
        <v>65</v>
      </c>
      <c r="Q205" s="41">
        <f>VLOOKUP(tbl_xbox[[#This Row],[Plan]],tbl_apoio5[#All],2,FALSE)</f>
        <v>2</v>
      </c>
      <c r="R205" s="41">
        <f>VLOOKUP(tbl_xbox[[#This Row],[EA Play Season Pass]],tbl_apoio5[[EA Play Season Pass]:[output2]],2,FALSE)</f>
        <v>3</v>
      </c>
      <c r="S205" s="41">
        <f>VLOOKUP(tbl_xbox[[#This Row],[Minecraft Season Pass]],tbl_apoio5[[Minecraft Season Pass]:[Minecraft Season Pass2]],2,FALSE)</f>
        <v>6</v>
      </c>
      <c r="T205" s="41">
        <f>SUM(tbl_xbox[[#This Row],[Plan2]:[Minecraft Season Pass2]])</f>
        <v>11</v>
      </c>
      <c r="U205" s="40" t="str">
        <f>VLOOKUP(tbl_xbox[[#This Row],[soma]],tbl_apoio5[[#All],[soma]:[output2]],2,FALSE)</f>
        <v>EA Play + Minecraft</v>
      </c>
      <c r="V205" s="7"/>
    </row>
    <row r="206" spans="1:22" ht="16.5" customHeight="1" x14ac:dyDescent="0.2">
      <c r="A206" s="4">
        <v>3435</v>
      </c>
      <c r="B206" s="4" t="s">
        <v>219</v>
      </c>
      <c r="C206" s="4" t="s">
        <v>18</v>
      </c>
      <c r="D206" s="6">
        <v>45552</v>
      </c>
      <c r="E206" s="4" t="s">
        <v>15</v>
      </c>
      <c r="F206" s="7">
        <v>10</v>
      </c>
      <c r="G206" s="4" t="s">
        <v>12</v>
      </c>
      <c r="H206" s="4" t="s">
        <v>15</v>
      </c>
      <c r="I206" s="7">
        <v>0</v>
      </c>
      <c r="J206" s="4" t="s">
        <v>11</v>
      </c>
      <c r="K206" s="7">
        <v>20</v>
      </c>
      <c r="L206" s="7">
        <v>10</v>
      </c>
      <c r="M206" s="7">
        <v>20</v>
      </c>
      <c r="N206" s="40" t="str">
        <f>IF(tbl_xbox[[#This Row],[Coupon Value]]=$L$3,"No","Yes")</f>
        <v>Yes</v>
      </c>
      <c r="O206" s="40" t="str">
        <f>IF(OR(tbl_xbox[[#This Row],[EA Play Season Pass]]="Yes",tbl_xbox[[#This Row],[Minecraft Season Pass]]="Yes"),"Yes","No")</f>
        <v>Yes</v>
      </c>
      <c r="P206" s="40">
        <f>tbl_xbox[[#This Row],[Subscription Price]]+tbl_xbox[[#This Row],[EA Play Season Pass
Price]]+tbl_xbox[[#This Row],[Minecraft Season Pass Price]]</f>
        <v>30</v>
      </c>
      <c r="Q206" s="41">
        <f>VLOOKUP(tbl_xbox[[#This Row],[Plan]],tbl_apoio5[#All],2,FALSE)</f>
        <v>1</v>
      </c>
      <c r="R206" s="41">
        <f>VLOOKUP(tbl_xbox[[#This Row],[EA Play Season Pass]],tbl_apoio5[[EA Play Season Pass]:[output2]],2,FALSE)</f>
        <v>0</v>
      </c>
      <c r="S206" s="41">
        <f>VLOOKUP(tbl_xbox[[#This Row],[Minecraft Season Pass]],tbl_apoio5[[Minecraft Season Pass]:[Minecraft Season Pass2]],2,FALSE)</f>
        <v>6</v>
      </c>
      <c r="T206" s="41">
        <f>SUM(tbl_xbox[[#This Row],[Plan2]:[Minecraft Season Pass2]])</f>
        <v>7</v>
      </c>
      <c r="U206" s="40" t="str">
        <f>VLOOKUP(tbl_xbox[[#This Row],[soma]],tbl_apoio5[[#All],[soma]:[output2]],2,FALSE)</f>
        <v>Minecraft</v>
      </c>
      <c r="V206" s="7"/>
    </row>
    <row r="207" spans="1:22" ht="16.5" customHeight="1" x14ac:dyDescent="0.2">
      <c r="A207" s="4">
        <v>3436</v>
      </c>
      <c r="B207" s="4" t="s">
        <v>220</v>
      </c>
      <c r="C207" s="4" t="s">
        <v>14</v>
      </c>
      <c r="D207" s="6">
        <v>45553</v>
      </c>
      <c r="E207" s="4" t="s">
        <v>11</v>
      </c>
      <c r="F207" s="7">
        <v>5</v>
      </c>
      <c r="G207" s="4" t="s">
        <v>12</v>
      </c>
      <c r="H207" s="4" t="s">
        <v>15</v>
      </c>
      <c r="I207" s="7">
        <v>0</v>
      </c>
      <c r="J207" s="4" t="s">
        <v>15</v>
      </c>
      <c r="K207" s="7">
        <v>0</v>
      </c>
      <c r="L207" s="7">
        <v>0</v>
      </c>
      <c r="M207" s="7">
        <v>5</v>
      </c>
      <c r="N207" s="40" t="str">
        <f>IF(tbl_xbox[[#This Row],[Coupon Value]]=$L$3,"No","Yes")</f>
        <v>No</v>
      </c>
      <c r="O207" s="40" t="str">
        <f>IF(OR(tbl_xbox[[#This Row],[EA Play Season Pass]]="Yes",tbl_xbox[[#This Row],[Minecraft Season Pass]]="Yes"),"Yes","No")</f>
        <v>No</v>
      </c>
      <c r="P207" s="40">
        <f>tbl_xbox[[#This Row],[Subscription Price]]+tbl_xbox[[#This Row],[EA Play Season Pass
Price]]+tbl_xbox[[#This Row],[Minecraft Season Pass Price]]</f>
        <v>5</v>
      </c>
      <c r="Q207" s="41">
        <f>VLOOKUP(tbl_xbox[[#This Row],[Plan]],tbl_apoio5[#All],2,FALSE)</f>
        <v>0</v>
      </c>
      <c r="R207" s="41">
        <f>VLOOKUP(tbl_xbox[[#This Row],[EA Play Season Pass]],tbl_apoio5[[EA Play Season Pass]:[output2]],2,FALSE)</f>
        <v>0</v>
      </c>
      <c r="S207" s="41">
        <f>VLOOKUP(tbl_xbox[[#This Row],[Minecraft Season Pass]],tbl_apoio5[[Minecraft Season Pass]:[Minecraft Season Pass2]],2,FALSE)</f>
        <v>0</v>
      </c>
      <c r="T207" s="41">
        <f>SUM(tbl_xbox[[#This Row],[Plan2]:[Minecraft Season Pass2]])</f>
        <v>0</v>
      </c>
      <c r="U207" s="40" t="str">
        <f>VLOOKUP(tbl_xbox[[#This Row],[soma]],tbl_apoio5[[#All],[soma]:[output2]],2,FALSE)</f>
        <v>No Extras</v>
      </c>
      <c r="V207" s="7"/>
    </row>
    <row r="208" spans="1:22" ht="16.5" customHeight="1" x14ac:dyDescent="0.2">
      <c r="A208" s="4">
        <v>3437</v>
      </c>
      <c r="B208" s="4" t="s">
        <v>221</v>
      </c>
      <c r="C208" s="4" t="s">
        <v>10</v>
      </c>
      <c r="D208" s="6">
        <v>45554</v>
      </c>
      <c r="E208" s="4" t="s">
        <v>15</v>
      </c>
      <c r="F208" s="7">
        <v>15</v>
      </c>
      <c r="G208" s="4" t="s">
        <v>19</v>
      </c>
      <c r="H208" s="4" t="s">
        <v>11</v>
      </c>
      <c r="I208" s="7">
        <v>30</v>
      </c>
      <c r="J208" s="4" t="s">
        <v>11</v>
      </c>
      <c r="K208" s="7">
        <v>20</v>
      </c>
      <c r="L208" s="7">
        <v>7</v>
      </c>
      <c r="M208" s="7">
        <v>58</v>
      </c>
      <c r="N208" s="40" t="str">
        <f>IF(tbl_xbox[[#This Row],[Coupon Value]]=$L$3,"No","Yes")</f>
        <v>Yes</v>
      </c>
      <c r="O208" s="40" t="str">
        <f>IF(OR(tbl_xbox[[#This Row],[EA Play Season Pass]]="Yes",tbl_xbox[[#This Row],[Minecraft Season Pass]]="Yes"),"Yes","No")</f>
        <v>Yes</v>
      </c>
      <c r="P208" s="40">
        <f>tbl_xbox[[#This Row],[Subscription Price]]+tbl_xbox[[#This Row],[EA Play Season Pass
Price]]+tbl_xbox[[#This Row],[Minecraft Season Pass Price]]</f>
        <v>65</v>
      </c>
      <c r="Q208" s="41">
        <f>VLOOKUP(tbl_xbox[[#This Row],[Plan]],tbl_apoio5[#All],2,FALSE)</f>
        <v>2</v>
      </c>
      <c r="R208" s="41">
        <f>VLOOKUP(tbl_xbox[[#This Row],[EA Play Season Pass]],tbl_apoio5[[EA Play Season Pass]:[output2]],2,FALSE)</f>
        <v>3</v>
      </c>
      <c r="S208" s="41">
        <f>VLOOKUP(tbl_xbox[[#This Row],[Minecraft Season Pass]],tbl_apoio5[[Minecraft Season Pass]:[Minecraft Season Pass2]],2,FALSE)</f>
        <v>6</v>
      </c>
      <c r="T208" s="41">
        <f>SUM(tbl_xbox[[#This Row],[Plan2]:[Minecraft Season Pass2]])</f>
        <v>11</v>
      </c>
      <c r="U208" s="40" t="str">
        <f>VLOOKUP(tbl_xbox[[#This Row],[soma]],tbl_apoio5[[#All],[soma]:[output2]],2,FALSE)</f>
        <v>EA Play + Minecraft</v>
      </c>
      <c r="V208" s="7"/>
    </row>
    <row r="209" spans="1:22" ht="16.5" customHeight="1" x14ac:dyDescent="0.2">
      <c r="A209" s="4">
        <v>3438</v>
      </c>
      <c r="B209" s="4" t="s">
        <v>222</v>
      </c>
      <c r="C209" s="4" t="s">
        <v>18</v>
      </c>
      <c r="D209" s="6">
        <v>45555</v>
      </c>
      <c r="E209" s="4" t="s">
        <v>11</v>
      </c>
      <c r="F209" s="7">
        <v>10</v>
      </c>
      <c r="G209" s="4" t="s">
        <v>16</v>
      </c>
      <c r="H209" s="4" t="s">
        <v>15</v>
      </c>
      <c r="I209" s="7">
        <v>0</v>
      </c>
      <c r="J209" s="4" t="s">
        <v>11</v>
      </c>
      <c r="K209" s="7">
        <v>20</v>
      </c>
      <c r="L209" s="7">
        <v>10</v>
      </c>
      <c r="M209" s="7">
        <v>20</v>
      </c>
      <c r="N209" s="40" t="str">
        <f>IF(tbl_xbox[[#This Row],[Coupon Value]]=$L$3,"No","Yes")</f>
        <v>Yes</v>
      </c>
      <c r="O209" s="40" t="str">
        <f>IF(OR(tbl_xbox[[#This Row],[EA Play Season Pass]]="Yes",tbl_xbox[[#This Row],[Minecraft Season Pass]]="Yes"),"Yes","No")</f>
        <v>Yes</v>
      </c>
      <c r="P209" s="40">
        <f>tbl_xbox[[#This Row],[Subscription Price]]+tbl_xbox[[#This Row],[EA Play Season Pass
Price]]+tbl_xbox[[#This Row],[Minecraft Season Pass Price]]</f>
        <v>30</v>
      </c>
      <c r="Q209" s="41">
        <f>VLOOKUP(tbl_xbox[[#This Row],[Plan]],tbl_apoio5[#All],2,FALSE)</f>
        <v>1</v>
      </c>
      <c r="R209" s="41">
        <f>VLOOKUP(tbl_xbox[[#This Row],[EA Play Season Pass]],tbl_apoio5[[EA Play Season Pass]:[output2]],2,FALSE)</f>
        <v>0</v>
      </c>
      <c r="S209" s="41">
        <f>VLOOKUP(tbl_xbox[[#This Row],[Minecraft Season Pass]],tbl_apoio5[[Minecraft Season Pass]:[Minecraft Season Pass2]],2,FALSE)</f>
        <v>6</v>
      </c>
      <c r="T209" s="41">
        <f>SUM(tbl_xbox[[#This Row],[Plan2]:[Minecraft Season Pass2]])</f>
        <v>7</v>
      </c>
      <c r="U209" s="40" t="str">
        <f>VLOOKUP(tbl_xbox[[#This Row],[soma]],tbl_apoio5[[#All],[soma]:[output2]],2,FALSE)</f>
        <v>Minecraft</v>
      </c>
      <c r="V209" s="7"/>
    </row>
    <row r="210" spans="1:22" ht="16.5" customHeight="1" x14ac:dyDescent="0.2">
      <c r="A210" s="4">
        <v>3439</v>
      </c>
      <c r="B210" s="4" t="s">
        <v>223</v>
      </c>
      <c r="C210" s="4" t="s">
        <v>14</v>
      </c>
      <c r="D210" s="6">
        <v>45556</v>
      </c>
      <c r="E210" s="4" t="s">
        <v>15</v>
      </c>
      <c r="F210" s="7">
        <v>5</v>
      </c>
      <c r="G210" s="4" t="s">
        <v>19</v>
      </c>
      <c r="H210" s="4" t="s">
        <v>15</v>
      </c>
      <c r="I210" s="7">
        <v>0</v>
      </c>
      <c r="J210" s="4" t="s">
        <v>15</v>
      </c>
      <c r="K210" s="7">
        <v>0</v>
      </c>
      <c r="L210" s="7">
        <v>1</v>
      </c>
      <c r="M210" s="7">
        <v>4</v>
      </c>
      <c r="N210" s="40" t="str">
        <f>IF(tbl_xbox[[#This Row],[Coupon Value]]=$L$3,"No","Yes")</f>
        <v>Yes</v>
      </c>
      <c r="O210" s="40" t="str">
        <f>IF(OR(tbl_xbox[[#This Row],[EA Play Season Pass]]="Yes",tbl_xbox[[#This Row],[Minecraft Season Pass]]="Yes"),"Yes","No")</f>
        <v>No</v>
      </c>
      <c r="P210" s="40">
        <f>tbl_xbox[[#This Row],[Subscription Price]]+tbl_xbox[[#This Row],[EA Play Season Pass
Price]]+tbl_xbox[[#This Row],[Minecraft Season Pass Price]]</f>
        <v>5</v>
      </c>
      <c r="Q210" s="41">
        <f>VLOOKUP(tbl_xbox[[#This Row],[Plan]],tbl_apoio5[#All],2,FALSE)</f>
        <v>0</v>
      </c>
      <c r="R210" s="41">
        <f>VLOOKUP(tbl_xbox[[#This Row],[EA Play Season Pass]],tbl_apoio5[[EA Play Season Pass]:[output2]],2,FALSE)</f>
        <v>0</v>
      </c>
      <c r="S210" s="41">
        <f>VLOOKUP(tbl_xbox[[#This Row],[Minecraft Season Pass]],tbl_apoio5[[Minecraft Season Pass]:[Minecraft Season Pass2]],2,FALSE)</f>
        <v>0</v>
      </c>
      <c r="T210" s="41">
        <f>SUM(tbl_xbox[[#This Row],[Plan2]:[Minecraft Season Pass2]])</f>
        <v>0</v>
      </c>
      <c r="U210" s="40" t="str">
        <f>VLOOKUP(tbl_xbox[[#This Row],[soma]],tbl_apoio5[[#All],[soma]:[output2]],2,FALSE)</f>
        <v>No Extras</v>
      </c>
      <c r="V210" s="7"/>
    </row>
    <row r="211" spans="1:22" ht="16.5" customHeight="1" x14ac:dyDescent="0.2">
      <c r="A211" s="4">
        <v>3440</v>
      </c>
      <c r="B211" s="4" t="s">
        <v>224</v>
      </c>
      <c r="C211" s="4" t="s">
        <v>10</v>
      </c>
      <c r="D211" s="6">
        <v>45557</v>
      </c>
      <c r="E211" s="4" t="s">
        <v>11</v>
      </c>
      <c r="F211" s="7">
        <v>15</v>
      </c>
      <c r="G211" s="4" t="s">
        <v>12</v>
      </c>
      <c r="H211" s="4" t="s">
        <v>11</v>
      </c>
      <c r="I211" s="7">
        <v>30</v>
      </c>
      <c r="J211" s="4" t="s">
        <v>11</v>
      </c>
      <c r="K211" s="7">
        <v>20</v>
      </c>
      <c r="L211" s="7">
        <v>15</v>
      </c>
      <c r="M211" s="7">
        <v>50</v>
      </c>
      <c r="N211" s="40" t="str">
        <f>IF(tbl_xbox[[#This Row],[Coupon Value]]=$L$3,"No","Yes")</f>
        <v>Yes</v>
      </c>
      <c r="O211" s="40" t="str">
        <f>IF(OR(tbl_xbox[[#This Row],[EA Play Season Pass]]="Yes",tbl_xbox[[#This Row],[Minecraft Season Pass]]="Yes"),"Yes","No")</f>
        <v>Yes</v>
      </c>
      <c r="P211" s="40">
        <f>tbl_xbox[[#This Row],[Subscription Price]]+tbl_xbox[[#This Row],[EA Play Season Pass
Price]]+tbl_xbox[[#This Row],[Minecraft Season Pass Price]]</f>
        <v>65</v>
      </c>
      <c r="Q211" s="41">
        <f>VLOOKUP(tbl_xbox[[#This Row],[Plan]],tbl_apoio5[#All],2,FALSE)</f>
        <v>2</v>
      </c>
      <c r="R211" s="41">
        <f>VLOOKUP(tbl_xbox[[#This Row],[EA Play Season Pass]],tbl_apoio5[[EA Play Season Pass]:[output2]],2,FALSE)</f>
        <v>3</v>
      </c>
      <c r="S211" s="41">
        <f>VLOOKUP(tbl_xbox[[#This Row],[Minecraft Season Pass]],tbl_apoio5[[Minecraft Season Pass]:[Minecraft Season Pass2]],2,FALSE)</f>
        <v>6</v>
      </c>
      <c r="T211" s="41">
        <f>SUM(tbl_xbox[[#This Row],[Plan2]:[Minecraft Season Pass2]])</f>
        <v>11</v>
      </c>
      <c r="U211" s="40" t="str">
        <f>VLOOKUP(tbl_xbox[[#This Row],[soma]],tbl_apoio5[[#All],[soma]:[output2]],2,FALSE)</f>
        <v>EA Play + Minecraft</v>
      </c>
      <c r="V211" s="7"/>
    </row>
    <row r="212" spans="1:22" ht="16.5" customHeight="1" x14ac:dyDescent="0.2">
      <c r="A212" s="4">
        <v>3441</v>
      </c>
      <c r="B212" s="4" t="s">
        <v>225</v>
      </c>
      <c r="C212" s="4" t="s">
        <v>18</v>
      </c>
      <c r="D212" s="6">
        <v>45558</v>
      </c>
      <c r="E212" s="4" t="s">
        <v>15</v>
      </c>
      <c r="F212" s="7">
        <v>10</v>
      </c>
      <c r="G212" s="4" t="s">
        <v>12</v>
      </c>
      <c r="H212" s="4" t="s">
        <v>15</v>
      </c>
      <c r="I212" s="7">
        <v>0</v>
      </c>
      <c r="J212" s="4" t="s">
        <v>11</v>
      </c>
      <c r="K212" s="7">
        <v>20</v>
      </c>
      <c r="L212" s="7">
        <v>5</v>
      </c>
      <c r="M212" s="7">
        <v>25</v>
      </c>
      <c r="N212" s="40" t="str">
        <f>IF(tbl_xbox[[#This Row],[Coupon Value]]=$L$3,"No","Yes")</f>
        <v>Yes</v>
      </c>
      <c r="O212" s="40" t="str">
        <f>IF(OR(tbl_xbox[[#This Row],[EA Play Season Pass]]="Yes",tbl_xbox[[#This Row],[Minecraft Season Pass]]="Yes"),"Yes","No")</f>
        <v>Yes</v>
      </c>
      <c r="P212" s="40">
        <f>tbl_xbox[[#This Row],[Subscription Price]]+tbl_xbox[[#This Row],[EA Play Season Pass
Price]]+tbl_xbox[[#This Row],[Minecraft Season Pass Price]]</f>
        <v>30</v>
      </c>
      <c r="Q212" s="41">
        <f>VLOOKUP(tbl_xbox[[#This Row],[Plan]],tbl_apoio5[#All],2,FALSE)</f>
        <v>1</v>
      </c>
      <c r="R212" s="41">
        <f>VLOOKUP(tbl_xbox[[#This Row],[EA Play Season Pass]],tbl_apoio5[[EA Play Season Pass]:[output2]],2,FALSE)</f>
        <v>0</v>
      </c>
      <c r="S212" s="41">
        <f>VLOOKUP(tbl_xbox[[#This Row],[Minecraft Season Pass]],tbl_apoio5[[Minecraft Season Pass]:[Minecraft Season Pass2]],2,FALSE)</f>
        <v>6</v>
      </c>
      <c r="T212" s="41">
        <f>SUM(tbl_xbox[[#This Row],[Plan2]:[Minecraft Season Pass2]])</f>
        <v>7</v>
      </c>
      <c r="U212" s="40" t="str">
        <f>VLOOKUP(tbl_xbox[[#This Row],[soma]],tbl_apoio5[[#All],[soma]:[output2]],2,FALSE)</f>
        <v>Minecraft</v>
      </c>
      <c r="V212" s="7"/>
    </row>
    <row r="213" spans="1:22" ht="16.5" customHeight="1" x14ac:dyDescent="0.2">
      <c r="A213" s="4">
        <v>3442</v>
      </c>
      <c r="B213" s="4" t="s">
        <v>226</v>
      </c>
      <c r="C213" s="4" t="s">
        <v>14</v>
      </c>
      <c r="D213" s="6">
        <v>45559</v>
      </c>
      <c r="E213" s="4" t="s">
        <v>11</v>
      </c>
      <c r="F213" s="7">
        <v>5</v>
      </c>
      <c r="G213" s="4" t="s">
        <v>16</v>
      </c>
      <c r="H213" s="4" t="s">
        <v>15</v>
      </c>
      <c r="I213" s="7">
        <v>0</v>
      </c>
      <c r="J213" s="4" t="s">
        <v>15</v>
      </c>
      <c r="K213" s="7">
        <v>0</v>
      </c>
      <c r="L213" s="7">
        <v>0</v>
      </c>
      <c r="M213" s="7">
        <v>5</v>
      </c>
      <c r="N213" s="40" t="str">
        <f>IF(tbl_xbox[[#This Row],[Coupon Value]]=$L$3,"No","Yes")</f>
        <v>No</v>
      </c>
      <c r="O213" s="40" t="str">
        <f>IF(OR(tbl_xbox[[#This Row],[EA Play Season Pass]]="Yes",tbl_xbox[[#This Row],[Minecraft Season Pass]]="Yes"),"Yes","No")</f>
        <v>No</v>
      </c>
      <c r="P213" s="40">
        <f>tbl_xbox[[#This Row],[Subscription Price]]+tbl_xbox[[#This Row],[EA Play Season Pass
Price]]+tbl_xbox[[#This Row],[Minecraft Season Pass Price]]</f>
        <v>5</v>
      </c>
      <c r="Q213" s="41">
        <f>VLOOKUP(tbl_xbox[[#This Row],[Plan]],tbl_apoio5[#All],2,FALSE)</f>
        <v>0</v>
      </c>
      <c r="R213" s="41">
        <f>VLOOKUP(tbl_xbox[[#This Row],[EA Play Season Pass]],tbl_apoio5[[EA Play Season Pass]:[output2]],2,FALSE)</f>
        <v>0</v>
      </c>
      <c r="S213" s="41">
        <f>VLOOKUP(tbl_xbox[[#This Row],[Minecraft Season Pass]],tbl_apoio5[[Minecraft Season Pass]:[Minecraft Season Pass2]],2,FALSE)</f>
        <v>0</v>
      </c>
      <c r="T213" s="41">
        <f>SUM(tbl_xbox[[#This Row],[Plan2]:[Minecraft Season Pass2]])</f>
        <v>0</v>
      </c>
      <c r="U213" s="40" t="str">
        <f>VLOOKUP(tbl_xbox[[#This Row],[soma]],tbl_apoio5[[#All],[soma]:[output2]],2,FALSE)</f>
        <v>No Extras</v>
      </c>
      <c r="V213" s="7"/>
    </row>
    <row r="214" spans="1:22" ht="16.5" customHeight="1" x14ac:dyDescent="0.2">
      <c r="A214" s="4">
        <v>3443</v>
      </c>
      <c r="B214" s="4" t="s">
        <v>227</v>
      </c>
      <c r="C214" s="4" t="s">
        <v>10</v>
      </c>
      <c r="D214" s="6">
        <v>45560</v>
      </c>
      <c r="E214" s="4" t="s">
        <v>15</v>
      </c>
      <c r="F214" s="7">
        <v>15</v>
      </c>
      <c r="G214" s="4" t="s">
        <v>19</v>
      </c>
      <c r="H214" s="4" t="s">
        <v>11</v>
      </c>
      <c r="I214" s="7">
        <v>30</v>
      </c>
      <c r="J214" s="4" t="s">
        <v>11</v>
      </c>
      <c r="K214" s="7">
        <v>20</v>
      </c>
      <c r="L214" s="7">
        <v>20</v>
      </c>
      <c r="M214" s="7">
        <v>45</v>
      </c>
      <c r="N214" s="40" t="str">
        <f>IF(tbl_xbox[[#This Row],[Coupon Value]]=$L$3,"No","Yes")</f>
        <v>Yes</v>
      </c>
      <c r="O214" s="40" t="str">
        <f>IF(OR(tbl_xbox[[#This Row],[EA Play Season Pass]]="Yes",tbl_xbox[[#This Row],[Minecraft Season Pass]]="Yes"),"Yes","No")</f>
        <v>Yes</v>
      </c>
      <c r="P214" s="40">
        <f>tbl_xbox[[#This Row],[Subscription Price]]+tbl_xbox[[#This Row],[EA Play Season Pass
Price]]+tbl_xbox[[#This Row],[Minecraft Season Pass Price]]</f>
        <v>65</v>
      </c>
      <c r="Q214" s="41">
        <f>VLOOKUP(tbl_xbox[[#This Row],[Plan]],tbl_apoio5[#All],2,FALSE)</f>
        <v>2</v>
      </c>
      <c r="R214" s="41">
        <f>VLOOKUP(tbl_xbox[[#This Row],[EA Play Season Pass]],tbl_apoio5[[EA Play Season Pass]:[output2]],2,FALSE)</f>
        <v>3</v>
      </c>
      <c r="S214" s="41">
        <f>VLOOKUP(tbl_xbox[[#This Row],[Minecraft Season Pass]],tbl_apoio5[[Minecraft Season Pass]:[Minecraft Season Pass2]],2,FALSE)</f>
        <v>6</v>
      </c>
      <c r="T214" s="41">
        <f>SUM(tbl_xbox[[#This Row],[Plan2]:[Minecraft Season Pass2]])</f>
        <v>11</v>
      </c>
      <c r="U214" s="40" t="str">
        <f>VLOOKUP(tbl_xbox[[#This Row],[soma]],tbl_apoio5[[#All],[soma]:[output2]],2,FALSE)</f>
        <v>EA Play + Minecraft</v>
      </c>
      <c r="V214" s="7"/>
    </row>
    <row r="215" spans="1:22" ht="16.5" customHeight="1" x14ac:dyDescent="0.2">
      <c r="A215" s="4">
        <v>3444</v>
      </c>
      <c r="B215" s="4" t="s">
        <v>228</v>
      </c>
      <c r="C215" s="4" t="s">
        <v>18</v>
      </c>
      <c r="D215" s="6">
        <v>45561</v>
      </c>
      <c r="E215" s="4" t="s">
        <v>11</v>
      </c>
      <c r="F215" s="7">
        <v>10</v>
      </c>
      <c r="G215" s="4" t="s">
        <v>19</v>
      </c>
      <c r="H215" s="4" t="s">
        <v>15</v>
      </c>
      <c r="I215" s="7">
        <v>0</v>
      </c>
      <c r="J215" s="4" t="s">
        <v>11</v>
      </c>
      <c r="K215" s="7">
        <v>20</v>
      </c>
      <c r="L215" s="7">
        <v>12</v>
      </c>
      <c r="M215" s="7">
        <v>18</v>
      </c>
      <c r="N215" s="40" t="str">
        <f>IF(tbl_xbox[[#This Row],[Coupon Value]]=$L$3,"No","Yes")</f>
        <v>Yes</v>
      </c>
      <c r="O215" s="40" t="str">
        <f>IF(OR(tbl_xbox[[#This Row],[EA Play Season Pass]]="Yes",tbl_xbox[[#This Row],[Minecraft Season Pass]]="Yes"),"Yes","No")</f>
        <v>Yes</v>
      </c>
      <c r="P215" s="40">
        <f>tbl_xbox[[#This Row],[Subscription Price]]+tbl_xbox[[#This Row],[EA Play Season Pass
Price]]+tbl_xbox[[#This Row],[Minecraft Season Pass Price]]</f>
        <v>30</v>
      </c>
      <c r="Q215" s="41">
        <f>VLOOKUP(tbl_xbox[[#This Row],[Plan]],tbl_apoio5[#All],2,FALSE)</f>
        <v>1</v>
      </c>
      <c r="R215" s="41">
        <f>VLOOKUP(tbl_xbox[[#This Row],[EA Play Season Pass]],tbl_apoio5[[EA Play Season Pass]:[output2]],2,FALSE)</f>
        <v>0</v>
      </c>
      <c r="S215" s="41">
        <f>VLOOKUP(tbl_xbox[[#This Row],[Minecraft Season Pass]],tbl_apoio5[[Minecraft Season Pass]:[Minecraft Season Pass2]],2,FALSE)</f>
        <v>6</v>
      </c>
      <c r="T215" s="41">
        <f>SUM(tbl_xbox[[#This Row],[Plan2]:[Minecraft Season Pass2]])</f>
        <v>7</v>
      </c>
      <c r="U215" s="40" t="str">
        <f>VLOOKUP(tbl_xbox[[#This Row],[soma]],tbl_apoio5[[#All],[soma]:[output2]],2,FALSE)</f>
        <v>Minecraft</v>
      </c>
      <c r="V215" s="7"/>
    </row>
    <row r="216" spans="1:22" ht="16.5" customHeight="1" x14ac:dyDescent="0.2">
      <c r="A216" s="4">
        <v>3445</v>
      </c>
      <c r="B216" s="4" t="s">
        <v>58</v>
      </c>
      <c r="C216" s="4" t="s">
        <v>14</v>
      </c>
      <c r="D216" s="6">
        <v>45562</v>
      </c>
      <c r="E216" s="4" t="s">
        <v>15</v>
      </c>
      <c r="F216" s="7">
        <v>5</v>
      </c>
      <c r="G216" s="4" t="s">
        <v>12</v>
      </c>
      <c r="H216" s="4" t="s">
        <v>15</v>
      </c>
      <c r="I216" s="7">
        <v>0</v>
      </c>
      <c r="J216" s="4" t="s">
        <v>15</v>
      </c>
      <c r="K216" s="7">
        <v>0</v>
      </c>
      <c r="L216" s="7">
        <v>2</v>
      </c>
      <c r="M216" s="7">
        <v>3</v>
      </c>
      <c r="N216" s="40" t="str">
        <f>IF(tbl_xbox[[#This Row],[Coupon Value]]=$L$3,"No","Yes")</f>
        <v>Yes</v>
      </c>
      <c r="O216" s="40" t="str">
        <f>IF(OR(tbl_xbox[[#This Row],[EA Play Season Pass]]="Yes",tbl_xbox[[#This Row],[Minecraft Season Pass]]="Yes"),"Yes","No")</f>
        <v>No</v>
      </c>
      <c r="P216" s="40">
        <f>tbl_xbox[[#This Row],[Subscription Price]]+tbl_xbox[[#This Row],[EA Play Season Pass
Price]]+tbl_xbox[[#This Row],[Minecraft Season Pass Price]]</f>
        <v>5</v>
      </c>
      <c r="Q216" s="41">
        <f>VLOOKUP(tbl_xbox[[#This Row],[Plan]],tbl_apoio5[#All],2,FALSE)</f>
        <v>0</v>
      </c>
      <c r="R216" s="41">
        <f>VLOOKUP(tbl_xbox[[#This Row],[EA Play Season Pass]],tbl_apoio5[[EA Play Season Pass]:[output2]],2,FALSE)</f>
        <v>0</v>
      </c>
      <c r="S216" s="41">
        <f>VLOOKUP(tbl_xbox[[#This Row],[Minecraft Season Pass]],tbl_apoio5[[Minecraft Season Pass]:[Minecraft Season Pass2]],2,FALSE)</f>
        <v>0</v>
      </c>
      <c r="T216" s="41">
        <f>SUM(tbl_xbox[[#This Row],[Plan2]:[Minecraft Season Pass2]])</f>
        <v>0</v>
      </c>
      <c r="U216" s="40" t="str">
        <f>VLOOKUP(tbl_xbox[[#This Row],[soma]],tbl_apoio5[[#All],[soma]:[output2]],2,FALSE)</f>
        <v>No Extras</v>
      </c>
      <c r="V216" s="7"/>
    </row>
    <row r="217" spans="1:22" ht="16.5" customHeight="1" x14ac:dyDescent="0.2">
      <c r="A217" s="4">
        <v>3446</v>
      </c>
      <c r="B217" s="4" t="s">
        <v>229</v>
      </c>
      <c r="C217" s="4" t="s">
        <v>10</v>
      </c>
      <c r="D217" s="6">
        <v>45563</v>
      </c>
      <c r="E217" s="4" t="s">
        <v>11</v>
      </c>
      <c r="F217" s="7">
        <v>15</v>
      </c>
      <c r="G217" s="4" t="s">
        <v>16</v>
      </c>
      <c r="H217" s="4" t="s">
        <v>11</v>
      </c>
      <c r="I217" s="7">
        <v>30</v>
      </c>
      <c r="J217" s="4" t="s">
        <v>11</v>
      </c>
      <c r="K217" s="7">
        <v>20</v>
      </c>
      <c r="L217" s="7">
        <v>5</v>
      </c>
      <c r="M217" s="7">
        <v>60</v>
      </c>
      <c r="N217" s="40" t="str">
        <f>IF(tbl_xbox[[#This Row],[Coupon Value]]=$L$3,"No","Yes")</f>
        <v>Yes</v>
      </c>
      <c r="O217" s="40" t="str">
        <f>IF(OR(tbl_xbox[[#This Row],[EA Play Season Pass]]="Yes",tbl_xbox[[#This Row],[Minecraft Season Pass]]="Yes"),"Yes","No")</f>
        <v>Yes</v>
      </c>
      <c r="P217" s="40">
        <f>tbl_xbox[[#This Row],[Subscription Price]]+tbl_xbox[[#This Row],[EA Play Season Pass
Price]]+tbl_xbox[[#This Row],[Minecraft Season Pass Price]]</f>
        <v>65</v>
      </c>
      <c r="Q217" s="41">
        <f>VLOOKUP(tbl_xbox[[#This Row],[Plan]],tbl_apoio5[#All],2,FALSE)</f>
        <v>2</v>
      </c>
      <c r="R217" s="41">
        <f>VLOOKUP(tbl_xbox[[#This Row],[EA Play Season Pass]],tbl_apoio5[[EA Play Season Pass]:[output2]],2,FALSE)</f>
        <v>3</v>
      </c>
      <c r="S217" s="41">
        <f>VLOOKUP(tbl_xbox[[#This Row],[Minecraft Season Pass]],tbl_apoio5[[Minecraft Season Pass]:[Minecraft Season Pass2]],2,FALSE)</f>
        <v>6</v>
      </c>
      <c r="T217" s="41">
        <f>SUM(tbl_xbox[[#This Row],[Plan2]:[Minecraft Season Pass2]])</f>
        <v>11</v>
      </c>
      <c r="U217" s="40" t="str">
        <f>VLOOKUP(tbl_xbox[[#This Row],[soma]],tbl_apoio5[[#All],[soma]:[output2]],2,FALSE)</f>
        <v>EA Play + Minecraft</v>
      </c>
      <c r="V217" s="7"/>
    </row>
    <row r="218" spans="1:22" ht="16.5" customHeight="1" x14ac:dyDescent="0.2">
      <c r="A218" s="4">
        <v>3447</v>
      </c>
      <c r="B218" s="4" t="s">
        <v>230</v>
      </c>
      <c r="C218" s="4" t="s">
        <v>18</v>
      </c>
      <c r="D218" s="6">
        <v>45564</v>
      </c>
      <c r="E218" s="4" t="s">
        <v>15</v>
      </c>
      <c r="F218" s="7">
        <v>10</v>
      </c>
      <c r="G218" s="4" t="s">
        <v>12</v>
      </c>
      <c r="H218" s="4" t="s">
        <v>15</v>
      </c>
      <c r="I218" s="7">
        <v>0</v>
      </c>
      <c r="J218" s="4" t="s">
        <v>11</v>
      </c>
      <c r="K218" s="7">
        <v>20</v>
      </c>
      <c r="L218" s="7">
        <v>10</v>
      </c>
      <c r="M218" s="7">
        <v>20</v>
      </c>
      <c r="N218" s="40" t="str">
        <f>IF(tbl_xbox[[#This Row],[Coupon Value]]=$L$3,"No","Yes")</f>
        <v>Yes</v>
      </c>
      <c r="O218" s="40" t="str">
        <f>IF(OR(tbl_xbox[[#This Row],[EA Play Season Pass]]="Yes",tbl_xbox[[#This Row],[Minecraft Season Pass]]="Yes"),"Yes","No")</f>
        <v>Yes</v>
      </c>
      <c r="P218" s="40">
        <f>tbl_xbox[[#This Row],[Subscription Price]]+tbl_xbox[[#This Row],[EA Play Season Pass
Price]]+tbl_xbox[[#This Row],[Minecraft Season Pass Price]]</f>
        <v>30</v>
      </c>
      <c r="Q218" s="41">
        <f>VLOOKUP(tbl_xbox[[#This Row],[Plan]],tbl_apoio5[#All],2,FALSE)</f>
        <v>1</v>
      </c>
      <c r="R218" s="41">
        <f>VLOOKUP(tbl_xbox[[#This Row],[EA Play Season Pass]],tbl_apoio5[[EA Play Season Pass]:[output2]],2,FALSE)</f>
        <v>0</v>
      </c>
      <c r="S218" s="41">
        <f>VLOOKUP(tbl_xbox[[#This Row],[Minecraft Season Pass]],tbl_apoio5[[Minecraft Season Pass]:[Minecraft Season Pass2]],2,FALSE)</f>
        <v>6</v>
      </c>
      <c r="T218" s="41">
        <f>SUM(tbl_xbox[[#This Row],[Plan2]:[Minecraft Season Pass2]])</f>
        <v>7</v>
      </c>
      <c r="U218" s="40" t="str">
        <f>VLOOKUP(tbl_xbox[[#This Row],[soma]],tbl_apoio5[[#All],[soma]:[output2]],2,FALSE)</f>
        <v>Minecraft</v>
      </c>
      <c r="V218" s="7"/>
    </row>
    <row r="219" spans="1:22" ht="16.5" customHeight="1" x14ac:dyDescent="0.2">
      <c r="A219" s="4">
        <v>3448</v>
      </c>
      <c r="B219" s="4" t="s">
        <v>231</v>
      </c>
      <c r="C219" s="4" t="s">
        <v>14</v>
      </c>
      <c r="D219" s="6">
        <v>45565</v>
      </c>
      <c r="E219" s="4" t="s">
        <v>11</v>
      </c>
      <c r="F219" s="7">
        <v>5</v>
      </c>
      <c r="G219" s="4" t="s">
        <v>19</v>
      </c>
      <c r="H219" s="4" t="s">
        <v>15</v>
      </c>
      <c r="I219" s="7">
        <v>0</v>
      </c>
      <c r="J219" s="4" t="s">
        <v>15</v>
      </c>
      <c r="K219" s="7">
        <v>0</v>
      </c>
      <c r="L219" s="7">
        <v>0</v>
      </c>
      <c r="M219" s="7">
        <v>5</v>
      </c>
      <c r="N219" s="40" t="str">
        <f>IF(tbl_xbox[[#This Row],[Coupon Value]]=$L$3,"No","Yes")</f>
        <v>No</v>
      </c>
      <c r="O219" s="40" t="str">
        <f>IF(OR(tbl_xbox[[#This Row],[EA Play Season Pass]]="Yes",tbl_xbox[[#This Row],[Minecraft Season Pass]]="Yes"),"Yes","No")</f>
        <v>No</v>
      </c>
      <c r="P219" s="40">
        <f>tbl_xbox[[#This Row],[Subscription Price]]+tbl_xbox[[#This Row],[EA Play Season Pass
Price]]+tbl_xbox[[#This Row],[Minecraft Season Pass Price]]</f>
        <v>5</v>
      </c>
      <c r="Q219" s="41">
        <f>VLOOKUP(tbl_xbox[[#This Row],[Plan]],tbl_apoio5[#All],2,FALSE)</f>
        <v>0</v>
      </c>
      <c r="R219" s="41">
        <f>VLOOKUP(tbl_xbox[[#This Row],[EA Play Season Pass]],tbl_apoio5[[EA Play Season Pass]:[output2]],2,FALSE)</f>
        <v>0</v>
      </c>
      <c r="S219" s="41">
        <f>VLOOKUP(tbl_xbox[[#This Row],[Minecraft Season Pass]],tbl_apoio5[[Minecraft Season Pass]:[Minecraft Season Pass2]],2,FALSE)</f>
        <v>0</v>
      </c>
      <c r="T219" s="41">
        <f>SUM(tbl_xbox[[#This Row],[Plan2]:[Minecraft Season Pass2]])</f>
        <v>0</v>
      </c>
      <c r="U219" s="40" t="str">
        <f>VLOOKUP(tbl_xbox[[#This Row],[soma]],tbl_apoio5[[#All],[soma]:[output2]],2,FALSE)</f>
        <v>No Extras</v>
      </c>
      <c r="V219" s="7"/>
    </row>
    <row r="220" spans="1:22" ht="16.5" customHeight="1" x14ac:dyDescent="0.2">
      <c r="A220" s="4">
        <v>3449</v>
      </c>
      <c r="B220" s="4" t="s">
        <v>232</v>
      </c>
      <c r="C220" s="4" t="s">
        <v>10</v>
      </c>
      <c r="D220" s="6">
        <v>45566</v>
      </c>
      <c r="E220" s="4" t="s">
        <v>15</v>
      </c>
      <c r="F220" s="7">
        <v>15</v>
      </c>
      <c r="G220" s="4" t="s">
        <v>12</v>
      </c>
      <c r="H220" s="4" t="s">
        <v>11</v>
      </c>
      <c r="I220" s="7">
        <v>30</v>
      </c>
      <c r="J220" s="4" t="s">
        <v>11</v>
      </c>
      <c r="K220" s="7">
        <v>20</v>
      </c>
      <c r="L220" s="7">
        <v>3</v>
      </c>
      <c r="M220" s="7">
        <v>62</v>
      </c>
      <c r="N220" s="40" t="str">
        <f>IF(tbl_xbox[[#This Row],[Coupon Value]]=$L$3,"No","Yes")</f>
        <v>Yes</v>
      </c>
      <c r="O220" s="40" t="str">
        <f>IF(OR(tbl_xbox[[#This Row],[EA Play Season Pass]]="Yes",tbl_xbox[[#This Row],[Minecraft Season Pass]]="Yes"),"Yes","No")</f>
        <v>Yes</v>
      </c>
      <c r="P220" s="40">
        <f>tbl_xbox[[#This Row],[Subscription Price]]+tbl_xbox[[#This Row],[EA Play Season Pass
Price]]+tbl_xbox[[#This Row],[Minecraft Season Pass Price]]</f>
        <v>65</v>
      </c>
      <c r="Q220" s="41">
        <f>VLOOKUP(tbl_xbox[[#This Row],[Plan]],tbl_apoio5[#All],2,FALSE)</f>
        <v>2</v>
      </c>
      <c r="R220" s="41">
        <f>VLOOKUP(tbl_xbox[[#This Row],[EA Play Season Pass]],tbl_apoio5[[EA Play Season Pass]:[output2]],2,FALSE)</f>
        <v>3</v>
      </c>
      <c r="S220" s="41">
        <f>VLOOKUP(tbl_xbox[[#This Row],[Minecraft Season Pass]],tbl_apoio5[[Minecraft Season Pass]:[Minecraft Season Pass2]],2,FALSE)</f>
        <v>6</v>
      </c>
      <c r="T220" s="41">
        <f>SUM(tbl_xbox[[#This Row],[Plan2]:[Minecraft Season Pass2]])</f>
        <v>11</v>
      </c>
      <c r="U220" s="40" t="str">
        <f>VLOOKUP(tbl_xbox[[#This Row],[soma]],tbl_apoio5[[#All],[soma]:[output2]],2,FALSE)</f>
        <v>EA Play + Minecraft</v>
      </c>
      <c r="V220" s="7"/>
    </row>
    <row r="221" spans="1:22" ht="16.5" customHeight="1" x14ac:dyDescent="0.2">
      <c r="A221" s="4">
        <v>3450</v>
      </c>
      <c r="B221" s="4" t="s">
        <v>233</v>
      </c>
      <c r="C221" s="4" t="s">
        <v>18</v>
      </c>
      <c r="D221" s="6">
        <v>45567</v>
      </c>
      <c r="E221" s="4" t="s">
        <v>11</v>
      </c>
      <c r="F221" s="7">
        <v>10</v>
      </c>
      <c r="G221" s="4" t="s">
        <v>16</v>
      </c>
      <c r="H221" s="4" t="s">
        <v>15</v>
      </c>
      <c r="I221" s="7">
        <v>0</v>
      </c>
      <c r="J221" s="4" t="s">
        <v>11</v>
      </c>
      <c r="K221" s="7">
        <v>20</v>
      </c>
      <c r="L221" s="7">
        <v>15</v>
      </c>
      <c r="M221" s="7">
        <v>15</v>
      </c>
      <c r="N221" s="40" t="str">
        <f>IF(tbl_xbox[[#This Row],[Coupon Value]]=$L$3,"No","Yes")</f>
        <v>Yes</v>
      </c>
      <c r="O221" s="40" t="str">
        <f>IF(OR(tbl_xbox[[#This Row],[EA Play Season Pass]]="Yes",tbl_xbox[[#This Row],[Minecraft Season Pass]]="Yes"),"Yes","No")</f>
        <v>Yes</v>
      </c>
      <c r="P221" s="40">
        <f>tbl_xbox[[#This Row],[Subscription Price]]+tbl_xbox[[#This Row],[EA Play Season Pass
Price]]+tbl_xbox[[#This Row],[Minecraft Season Pass Price]]</f>
        <v>30</v>
      </c>
      <c r="Q221" s="41">
        <f>VLOOKUP(tbl_xbox[[#This Row],[Plan]],tbl_apoio5[#All],2,FALSE)</f>
        <v>1</v>
      </c>
      <c r="R221" s="41">
        <f>VLOOKUP(tbl_xbox[[#This Row],[EA Play Season Pass]],tbl_apoio5[[EA Play Season Pass]:[output2]],2,FALSE)</f>
        <v>0</v>
      </c>
      <c r="S221" s="41">
        <f>VLOOKUP(tbl_xbox[[#This Row],[Minecraft Season Pass]],tbl_apoio5[[Minecraft Season Pass]:[Minecraft Season Pass2]],2,FALSE)</f>
        <v>6</v>
      </c>
      <c r="T221" s="41">
        <f>SUM(tbl_xbox[[#This Row],[Plan2]:[Minecraft Season Pass2]])</f>
        <v>7</v>
      </c>
      <c r="U221" s="40" t="str">
        <f>VLOOKUP(tbl_xbox[[#This Row],[soma]],tbl_apoio5[[#All],[soma]:[output2]],2,FALSE)</f>
        <v>Minecraft</v>
      </c>
      <c r="V221" s="7"/>
    </row>
    <row r="222" spans="1:22" ht="16.5" customHeight="1" x14ac:dyDescent="0.2">
      <c r="A222" s="4">
        <v>3451</v>
      </c>
      <c r="B222" s="4" t="s">
        <v>234</v>
      </c>
      <c r="C222" s="4" t="s">
        <v>14</v>
      </c>
      <c r="D222" s="6">
        <v>45568</v>
      </c>
      <c r="E222" s="4" t="s">
        <v>15</v>
      </c>
      <c r="F222" s="7">
        <v>5</v>
      </c>
      <c r="G222" s="4" t="s">
        <v>12</v>
      </c>
      <c r="H222" s="4" t="s">
        <v>15</v>
      </c>
      <c r="I222" s="7">
        <v>0</v>
      </c>
      <c r="J222" s="4" t="s">
        <v>15</v>
      </c>
      <c r="K222" s="7">
        <v>0</v>
      </c>
      <c r="L222" s="7">
        <v>1</v>
      </c>
      <c r="M222" s="7">
        <v>4</v>
      </c>
      <c r="N222" s="40" t="str">
        <f>IF(tbl_xbox[[#This Row],[Coupon Value]]=$L$3,"No","Yes")</f>
        <v>Yes</v>
      </c>
      <c r="O222" s="40" t="str">
        <f>IF(OR(tbl_xbox[[#This Row],[EA Play Season Pass]]="Yes",tbl_xbox[[#This Row],[Minecraft Season Pass]]="Yes"),"Yes","No")</f>
        <v>No</v>
      </c>
      <c r="P222" s="40">
        <f>tbl_xbox[[#This Row],[Subscription Price]]+tbl_xbox[[#This Row],[EA Play Season Pass
Price]]+tbl_xbox[[#This Row],[Minecraft Season Pass Price]]</f>
        <v>5</v>
      </c>
      <c r="Q222" s="41">
        <f>VLOOKUP(tbl_xbox[[#This Row],[Plan]],tbl_apoio5[#All],2,FALSE)</f>
        <v>0</v>
      </c>
      <c r="R222" s="41">
        <f>VLOOKUP(tbl_xbox[[#This Row],[EA Play Season Pass]],tbl_apoio5[[EA Play Season Pass]:[output2]],2,FALSE)</f>
        <v>0</v>
      </c>
      <c r="S222" s="41">
        <f>VLOOKUP(tbl_xbox[[#This Row],[Minecraft Season Pass]],tbl_apoio5[[Minecraft Season Pass]:[Minecraft Season Pass2]],2,FALSE)</f>
        <v>0</v>
      </c>
      <c r="T222" s="41">
        <f>SUM(tbl_xbox[[#This Row],[Plan2]:[Minecraft Season Pass2]])</f>
        <v>0</v>
      </c>
      <c r="U222" s="40" t="str">
        <f>VLOOKUP(tbl_xbox[[#This Row],[soma]],tbl_apoio5[[#All],[soma]:[output2]],2,FALSE)</f>
        <v>No Extras</v>
      </c>
      <c r="V222" s="7"/>
    </row>
    <row r="223" spans="1:22" ht="16.5" customHeight="1" x14ac:dyDescent="0.2">
      <c r="A223" s="4">
        <v>3452</v>
      </c>
      <c r="B223" s="4" t="s">
        <v>212</v>
      </c>
      <c r="C223" s="4" t="s">
        <v>10</v>
      </c>
      <c r="D223" s="6">
        <v>45569</v>
      </c>
      <c r="E223" s="4" t="s">
        <v>11</v>
      </c>
      <c r="F223" s="7">
        <v>15</v>
      </c>
      <c r="G223" s="4" t="s">
        <v>19</v>
      </c>
      <c r="H223" s="4" t="s">
        <v>11</v>
      </c>
      <c r="I223" s="7">
        <v>30</v>
      </c>
      <c r="J223" s="4" t="s">
        <v>11</v>
      </c>
      <c r="K223" s="7">
        <v>20</v>
      </c>
      <c r="L223" s="7">
        <v>7</v>
      </c>
      <c r="M223" s="7">
        <v>58</v>
      </c>
      <c r="N223" s="40" t="str">
        <f>IF(tbl_xbox[[#This Row],[Coupon Value]]=$L$3,"No","Yes")</f>
        <v>Yes</v>
      </c>
      <c r="O223" s="40" t="str">
        <f>IF(OR(tbl_xbox[[#This Row],[EA Play Season Pass]]="Yes",tbl_xbox[[#This Row],[Minecraft Season Pass]]="Yes"),"Yes","No")</f>
        <v>Yes</v>
      </c>
      <c r="P223" s="40">
        <f>tbl_xbox[[#This Row],[Subscription Price]]+tbl_xbox[[#This Row],[EA Play Season Pass
Price]]+tbl_xbox[[#This Row],[Minecraft Season Pass Price]]</f>
        <v>65</v>
      </c>
      <c r="Q223" s="41">
        <f>VLOOKUP(tbl_xbox[[#This Row],[Plan]],tbl_apoio5[#All],2,FALSE)</f>
        <v>2</v>
      </c>
      <c r="R223" s="41">
        <f>VLOOKUP(tbl_xbox[[#This Row],[EA Play Season Pass]],tbl_apoio5[[EA Play Season Pass]:[output2]],2,FALSE)</f>
        <v>3</v>
      </c>
      <c r="S223" s="41">
        <f>VLOOKUP(tbl_xbox[[#This Row],[Minecraft Season Pass]],tbl_apoio5[[Minecraft Season Pass]:[Minecraft Season Pass2]],2,FALSE)</f>
        <v>6</v>
      </c>
      <c r="T223" s="41">
        <f>SUM(tbl_xbox[[#This Row],[Plan2]:[Minecraft Season Pass2]])</f>
        <v>11</v>
      </c>
      <c r="U223" s="40" t="str">
        <f>VLOOKUP(tbl_xbox[[#This Row],[soma]],tbl_apoio5[[#All],[soma]:[output2]],2,FALSE)</f>
        <v>EA Play + Minecraft</v>
      </c>
      <c r="V223" s="7"/>
    </row>
    <row r="224" spans="1:22" ht="16.5" customHeight="1" x14ac:dyDescent="0.2">
      <c r="A224" s="4">
        <v>3453</v>
      </c>
      <c r="B224" s="4" t="s">
        <v>66</v>
      </c>
      <c r="C224" s="4" t="s">
        <v>18</v>
      </c>
      <c r="D224" s="6">
        <v>45570</v>
      </c>
      <c r="E224" s="4" t="s">
        <v>15</v>
      </c>
      <c r="F224" s="7">
        <v>10</v>
      </c>
      <c r="G224" s="4" t="s">
        <v>12</v>
      </c>
      <c r="H224" s="4" t="s">
        <v>15</v>
      </c>
      <c r="I224" s="7">
        <v>0</v>
      </c>
      <c r="J224" s="4" t="s">
        <v>11</v>
      </c>
      <c r="K224" s="7">
        <v>20</v>
      </c>
      <c r="L224" s="7">
        <v>10</v>
      </c>
      <c r="M224" s="7">
        <v>20</v>
      </c>
      <c r="N224" s="40" t="str">
        <f>IF(tbl_xbox[[#This Row],[Coupon Value]]=$L$3,"No","Yes")</f>
        <v>Yes</v>
      </c>
      <c r="O224" s="40" t="str">
        <f>IF(OR(tbl_xbox[[#This Row],[EA Play Season Pass]]="Yes",tbl_xbox[[#This Row],[Minecraft Season Pass]]="Yes"),"Yes","No")</f>
        <v>Yes</v>
      </c>
      <c r="P224" s="40">
        <f>tbl_xbox[[#This Row],[Subscription Price]]+tbl_xbox[[#This Row],[EA Play Season Pass
Price]]+tbl_xbox[[#This Row],[Minecraft Season Pass Price]]</f>
        <v>30</v>
      </c>
      <c r="Q224" s="41">
        <f>VLOOKUP(tbl_xbox[[#This Row],[Plan]],tbl_apoio5[#All],2,FALSE)</f>
        <v>1</v>
      </c>
      <c r="R224" s="41">
        <f>VLOOKUP(tbl_xbox[[#This Row],[EA Play Season Pass]],tbl_apoio5[[EA Play Season Pass]:[output2]],2,FALSE)</f>
        <v>0</v>
      </c>
      <c r="S224" s="41">
        <f>VLOOKUP(tbl_xbox[[#This Row],[Minecraft Season Pass]],tbl_apoio5[[Minecraft Season Pass]:[Minecraft Season Pass2]],2,FALSE)</f>
        <v>6</v>
      </c>
      <c r="T224" s="41">
        <f>SUM(tbl_xbox[[#This Row],[Plan2]:[Minecraft Season Pass2]])</f>
        <v>7</v>
      </c>
      <c r="U224" s="40" t="str">
        <f>VLOOKUP(tbl_xbox[[#This Row],[soma]],tbl_apoio5[[#All],[soma]:[output2]],2,FALSE)</f>
        <v>Minecraft</v>
      </c>
      <c r="V224" s="7"/>
    </row>
    <row r="225" spans="1:22" ht="16.5" customHeight="1" x14ac:dyDescent="0.2">
      <c r="A225" s="4">
        <v>3454</v>
      </c>
      <c r="B225" s="4" t="s">
        <v>235</v>
      </c>
      <c r="C225" s="4" t="s">
        <v>14</v>
      </c>
      <c r="D225" s="6">
        <v>45571</v>
      </c>
      <c r="E225" s="4" t="s">
        <v>11</v>
      </c>
      <c r="F225" s="7">
        <v>5</v>
      </c>
      <c r="G225" s="4" t="s">
        <v>16</v>
      </c>
      <c r="H225" s="4" t="s">
        <v>15</v>
      </c>
      <c r="I225" s="7">
        <v>0</v>
      </c>
      <c r="J225" s="4" t="s">
        <v>15</v>
      </c>
      <c r="K225" s="7">
        <v>0</v>
      </c>
      <c r="L225" s="7">
        <v>0</v>
      </c>
      <c r="M225" s="7">
        <v>5</v>
      </c>
      <c r="N225" s="40" t="str">
        <f>IF(tbl_xbox[[#This Row],[Coupon Value]]=$L$3,"No","Yes")</f>
        <v>No</v>
      </c>
      <c r="O225" s="40" t="str">
        <f>IF(OR(tbl_xbox[[#This Row],[EA Play Season Pass]]="Yes",tbl_xbox[[#This Row],[Minecraft Season Pass]]="Yes"),"Yes","No")</f>
        <v>No</v>
      </c>
      <c r="P225" s="40">
        <f>tbl_xbox[[#This Row],[Subscription Price]]+tbl_xbox[[#This Row],[EA Play Season Pass
Price]]+tbl_xbox[[#This Row],[Minecraft Season Pass Price]]</f>
        <v>5</v>
      </c>
      <c r="Q225" s="41">
        <f>VLOOKUP(tbl_xbox[[#This Row],[Plan]],tbl_apoio5[#All],2,FALSE)</f>
        <v>0</v>
      </c>
      <c r="R225" s="41">
        <f>VLOOKUP(tbl_xbox[[#This Row],[EA Play Season Pass]],tbl_apoio5[[EA Play Season Pass]:[output2]],2,FALSE)</f>
        <v>0</v>
      </c>
      <c r="S225" s="41">
        <f>VLOOKUP(tbl_xbox[[#This Row],[Minecraft Season Pass]],tbl_apoio5[[Minecraft Season Pass]:[Minecraft Season Pass2]],2,FALSE)</f>
        <v>0</v>
      </c>
      <c r="T225" s="41">
        <f>SUM(tbl_xbox[[#This Row],[Plan2]:[Minecraft Season Pass2]])</f>
        <v>0</v>
      </c>
      <c r="U225" s="40" t="str">
        <f>VLOOKUP(tbl_xbox[[#This Row],[soma]],tbl_apoio5[[#All],[soma]:[output2]],2,FALSE)</f>
        <v>No Extras</v>
      </c>
      <c r="V225" s="7"/>
    </row>
    <row r="226" spans="1:22" ht="16.5" customHeight="1" x14ac:dyDescent="0.2">
      <c r="A226" s="4">
        <v>3455</v>
      </c>
      <c r="B226" s="4" t="s">
        <v>236</v>
      </c>
      <c r="C226" s="4" t="s">
        <v>10</v>
      </c>
      <c r="D226" s="6">
        <v>45572</v>
      </c>
      <c r="E226" s="4" t="s">
        <v>15</v>
      </c>
      <c r="F226" s="7">
        <v>15</v>
      </c>
      <c r="G226" s="4" t="s">
        <v>12</v>
      </c>
      <c r="H226" s="4" t="s">
        <v>11</v>
      </c>
      <c r="I226" s="7">
        <v>30</v>
      </c>
      <c r="J226" s="4" t="s">
        <v>11</v>
      </c>
      <c r="K226" s="7">
        <v>20</v>
      </c>
      <c r="L226" s="7">
        <v>20</v>
      </c>
      <c r="M226" s="7">
        <v>45</v>
      </c>
      <c r="N226" s="40" t="str">
        <f>IF(tbl_xbox[[#This Row],[Coupon Value]]=$L$3,"No","Yes")</f>
        <v>Yes</v>
      </c>
      <c r="O226" s="40" t="str">
        <f>IF(OR(tbl_xbox[[#This Row],[EA Play Season Pass]]="Yes",tbl_xbox[[#This Row],[Minecraft Season Pass]]="Yes"),"Yes","No")</f>
        <v>Yes</v>
      </c>
      <c r="P226" s="40">
        <f>tbl_xbox[[#This Row],[Subscription Price]]+tbl_xbox[[#This Row],[EA Play Season Pass
Price]]+tbl_xbox[[#This Row],[Minecraft Season Pass Price]]</f>
        <v>65</v>
      </c>
      <c r="Q226" s="41">
        <f>VLOOKUP(tbl_xbox[[#This Row],[Plan]],tbl_apoio5[#All],2,FALSE)</f>
        <v>2</v>
      </c>
      <c r="R226" s="41">
        <f>VLOOKUP(tbl_xbox[[#This Row],[EA Play Season Pass]],tbl_apoio5[[EA Play Season Pass]:[output2]],2,FALSE)</f>
        <v>3</v>
      </c>
      <c r="S226" s="41">
        <f>VLOOKUP(tbl_xbox[[#This Row],[Minecraft Season Pass]],tbl_apoio5[[Minecraft Season Pass]:[Minecraft Season Pass2]],2,FALSE)</f>
        <v>6</v>
      </c>
      <c r="T226" s="41">
        <f>SUM(tbl_xbox[[#This Row],[Plan2]:[Minecraft Season Pass2]])</f>
        <v>11</v>
      </c>
      <c r="U226" s="40" t="str">
        <f>VLOOKUP(tbl_xbox[[#This Row],[soma]],tbl_apoio5[[#All],[soma]:[output2]],2,FALSE)</f>
        <v>EA Play + Minecraft</v>
      </c>
      <c r="V226" s="7"/>
    </row>
    <row r="227" spans="1:22" ht="16.5" customHeight="1" x14ac:dyDescent="0.2">
      <c r="A227" s="4">
        <v>3456</v>
      </c>
      <c r="B227" s="4" t="s">
        <v>237</v>
      </c>
      <c r="C227" s="4" t="s">
        <v>18</v>
      </c>
      <c r="D227" s="6">
        <v>45573</v>
      </c>
      <c r="E227" s="4" t="s">
        <v>11</v>
      </c>
      <c r="F227" s="7">
        <v>10</v>
      </c>
      <c r="G227" s="4" t="s">
        <v>19</v>
      </c>
      <c r="H227" s="4" t="s">
        <v>15</v>
      </c>
      <c r="I227" s="7">
        <v>0</v>
      </c>
      <c r="J227" s="4" t="s">
        <v>11</v>
      </c>
      <c r="K227" s="7">
        <v>20</v>
      </c>
      <c r="L227" s="7">
        <v>15</v>
      </c>
      <c r="M227" s="7">
        <v>15</v>
      </c>
      <c r="N227" s="40" t="str">
        <f>IF(tbl_xbox[[#This Row],[Coupon Value]]=$L$3,"No","Yes")</f>
        <v>Yes</v>
      </c>
      <c r="O227" s="40" t="str">
        <f>IF(OR(tbl_xbox[[#This Row],[EA Play Season Pass]]="Yes",tbl_xbox[[#This Row],[Minecraft Season Pass]]="Yes"),"Yes","No")</f>
        <v>Yes</v>
      </c>
      <c r="P227" s="40">
        <f>tbl_xbox[[#This Row],[Subscription Price]]+tbl_xbox[[#This Row],[EA Play Season Pass
Price]]+tbl_xbox[[#This Row],[Minecraft Season Pass Price]]</f>
        <v>30</v>
      </c>
      <c r="Q227" s="41">
        <f>VLOOKUP(tbl_xbox[[#This Row],[Plan]],tbl_apoio5[#All],2,FALSE)</f>
        <v>1</v>
      </c>
      <c r="R227" s="41">
        <f>VLOOKUP(tbl_xbox[[#This Row],[EA Play Season Pass]],tbl_apoio5[[EA Play Season Pass]:[output2]],2,FALSE)</f>
        <v>0</v>
      </c>
      <c r="S227" s="41">
        <f>VLOOKUP(tbl_xbox[[#This Row],[Minecraft Season Pass]],tbl_apoio5[[Minecraft Season Pass]:[Minecraft Season Pass2]],2,FALSE)</f>
        <v>6</v>
      </c>
      <c r="T227" s="41">
        <f>SUM(tbl_xbox[[#This Row],[Plan2]:[Minecraft Season Pass2]])</f>
        <v>7</v>
      </c>
      <c r="U227" s="40" t="str">
        <f>VLOOKUP(tbl_xbox[[#This Row],[soma]],tbl_apoio5[[#All],[soma]:[output2]],2,FALSE)</f>
        <v>Minecraft</v>
      </c>
      <c r="V227" s="7"/>
    </row>
    <row r="228" spans="1:22" ht="16.5" customHeight="1" x14ac:dyDescent="0.2">
      <c r="A228" s="4">
        <v>3457</v>
      </c>
      <c r="B228" s="4" t="s">
        <v>238</v>
      </c>
      <c r="C228" s="4" t="s">
        <v>14</v>
      </c>
      <c r="D228" s="6">
        <v>45574</v>
      </c>
      <c r="E228" s="4" t="s">
        <v>15</v>
      </c>
      <c r="F228" s="7">
        <v>5</v>
      </c>
      <c r="G228" s="4" t="s">
        <v>12</v>
      </c>
      <c r="H228" s="4" t="s">
        <v>15</v>
      </c>
      <c r="I228" s="7">
        <v>0</v>
      </c>
      <c r="J228" s="4" t="s">
        <v>15</v>
      </c>
      <c r="K228" s="7">
        <v>0</v>
      </c>
      <c r="L228" s="7">
        <v>1</v>
      </c>
      <c r="M228" s="7">
        <v>4</v>
      </c>
      <c r="N228" s="40" t="str">
        <f>IF(tbl_xbox[[#This Row],[Coupon Value]]=$L$3,"No","Yes")</f>
        <v>Yes</v>
      </c>
      <c r="O228" s="40" t="str">
        <f>IF(OR(tbl_xbox[[#This Row],[EA Play Season Pass]]="Yes",tbl_xbox[[#This Row],[Minecraft Season Pass]]="Yes"),"Yes","No")</f>
        <v>No</v>
      </c>
      <c r="P228" s="40">
        <f>tbl_xbox[[#This Row],[Subscription Price]]+tbl_xbox[[#This Row],[EA Play Season Pass
Price]]+tbl_xbox[[#This Row],[Minecraft Season Pass Price]]</f>
        <v>5</v>
      </c>
      <c r="Q228" s="41">
        <f>VLOOKUP(tbl_xbox[[#This Row],[Plan]],tbl_apoio5[#All],2,FALSE)</f>
        <v>0</v>
      </c>
      <c r="R228" s="41">
        <f>VLOOKUP(tbl_xbox[[#This Row],[EA Play Season Pass]],tbl_apoio5[[EA Play Season Pass]:[output2]],2,FALSE)</f>
        <v>0</v>
      </c>
      <c r="S228" s="41">
        <f>VLOOKUP(tbl_xbox[[#This Row],[Minecraft Season Pass]],tbl_apoio5[[Minecraft Season Pass]:[Minecraft Season Pass2]],2,FALSE)</f>
        <v>0</v>
      </c>
      <c r="T228" s="41">
        <f>SUM(tbl_xbox[[#This Row],[Plan2]:[Minecraft Season Pass2]])</f>
        <v>0</v>
      </c>
      <c r="U228" s="40" t="str">
        <f>VLOOKUP(tbl_xbox[[#This Row],[soma]],tbl_apoio5[[#All],[soma]:[output2]],2,FALSE)</f>
        <v>No Extras</v>
      </c>
      <c r="V228" s="7"/>
    </row>
    <row r="229" spans="1:22" ht="16.5" customHeight="1" x14ac:dyDescent="0.2">
      <c r="A229" s="4">
        <v>3458</v>
      </c>
      <c r="B229" s="4" t="s">
        <v>239</v>
      </c>
      <c r="C229" s="4" t="s">
        <v>10</v>
      </c>
      <c r="D229" s="6">
        <v>45575</v>
      </c>
      <c r="E229" s="4" t="s">
        <v>11</v>
      </c>
      <c r="F229" s="7">
        <v>15</v>
      </c>
      <c r="G229" s="4" t="s">
        <v>16</v>
      </c>
      <c r="H229" s="4" t="s">
        <v>11</v>
      </c>
      <c r="I229" s="7">
        <v>30</v>
      </c>
      <c r="J229" s="4" t="s">
        <v>11</v>
      </c>
      <c r="K229" s="7">
        <v>20</v>
      </c>
      <c r="L229" s="7">
        <v>3</v>
      </c>
      <c r="M229" s="7">
        <v>62</v>
      </c>
      <c r="N229" s="40" t="str">
        <f>IF(tbl_xbox[[#This Row],[Coupon Value]]=$L$3,"No","Yes")</f>
        <v>Yes</v>
      </c>
      <c r="O229" s="40" t="str">
        <f>IF(OR(tbl_xbox[[#This Row],[EA Play Season Pass]]="Yes",tbl_xbox[[#This Row],[Minecraft Season Pass]]="Yes"),"Yes","No")</f>
        <v>Yes</v>
      </c>
      <c r="P229" s="40">
        <f>tbl_xbox[[#This Row],[Subscription Price]]+tbl_xbox[[#This Row],[EA Play Season Pass
Price]]+tbl_xbox[[#This Row],[Minecraft Season Pass Price]]</f>
        <v>65</v>
      </c>
      <c r="Q229" s="41">
        <f>VLOOKUP(tbl_xbox[[#This Row],[Plan]],tbl_apoio5[#All],2,FALSE)</f>
        <v>2</v>
      </c>
      <c r="R229" s="41">
        <f>VLOOKUP(tbl_xbox[[#This Row],[EA Play Season Pass]],tbl_apoio5[[EA Play Season Pass]:[output2]],2,FALSE)</f>
        <v>3</v>
      </c>
      <c r="S229" s="41">
        <f>VLOOKUP(tbl_xbox[[#This Row],[Minecraft Season Pass]],tbl_apoio5[[Minecraft Season Pass]:[Minecraft Season Pass2]],2,FALSE)</f>
        <v>6</v>
      </c>
      <c r="T229" s="41">
        <f>SUM(tbl_xbox[[#This Row],[Plan2]:[Minecraft Season Pass2]])</f>
        <v>11</v>
      </c>
      <c r="U229" s="40" t="str">
        <f>VLOOKUP(tbl_xbox[[#This Row],[soma]],tbl_apoio5[[#All],[soma]:[output2]],2,FALSE)</f>
        <v>EA Play + Minecraft</v>
      </c>
      <c r="V229" s="7"/>
    </row>
    <row r="230" spans="1:22" ht="16.5" customHeight="1" x14ac:dyDescent="0.2">
      <c r="A230" s="4">
        <v>3459</v>
      </c>
      <c r="B230" s="4" t="s">
        <v>240</v>
      </c>
      <c r="C230" s="4" t="s">
        <v>18</v>
      </c>
      <c r="D230" s="6">
        <v>45576</v>
      </c>
      <c r="E230" s="4" t="s">
        <v>15</v>
      </c>
      <c r="F230" s="7">
        <v>10</v>
      </c>
      <c r="G230" s="4" t="s">
        <v>12</v>
      </c>
      <c r="H230" s="4" t="s">
        <v>15</v>
      </c>
      <c r="I230" s="7">
        <v>0</v>
      </c>
      <c r="J230" s="4" t="s">
        <v>11</v>
      </c>
      <c r="K230" s="7">
        <v>20</v>
      </c>
      <c r="L230" s="7">
        <v>10</v>
      </c>
      <c r="M230" s="7">
        <v>20</v>
      </c>
      <c r="N230" s="40" t="str">
        <f>IF(tbl_xbox[[#This Row],[Coupon Value]]=$L$3,"No","Yes")</f>
        <v>Yes</v>
      </c>
      <c r="O230" s="40" t="str">
        <f>IF(OR(tbl_xbox[[#This Row],[EA Play Season Pass]]="Yes",tbl_xbox[[#This Row],[Minecraft Season Pass]]="Yes"),"Yes","No")</f>
        <v>Yes</v>
      </c>
      <c r="P230" s="40">
        <f>tbl_xbox[[#This Row],[Subscription Price]]+tbl_xbox[[#This Row],[EA Play Season Pass
Price]]+tbl_xbox[[#This Row],[Minecraft Season Pass Price]]</f>
        <v>30</v>
      </c>
      <c r="Q230" s="41">
        <f>VLOOKUP(tbl_xbox[[#This Row],[Plan]],tbl_apoio5[#All],2,FALSE)</f>
        <v>1</v>
      </c>
      <c r="R230" s="41">
        <f>VLOOKUP(tbl_xbox[[#This Row],[EA Play Season Pass]],tbl_apoio5[[EA Play Season Pass]:[output2]],2,FALSE)</f>
        <v>0</v>
      </c>
      <c r="S230" s="41">
        <f>VLOOKUP(tbl_xbox[[#This Row],[Minecraft Season Pass]],tbl_apoio5[[Minecraft Season Pass]:[Minecraft Season Pass2]],2,FALSE)</f>
        <v>6</v>
      </c>
      <c r="T230" s="41">
        <f>SUM(tbl_xbox[[#This Row],[Plan2]:[Minecraft Season Pass2]])</f>
        <v>7</v>
      </c>
      <c r="U230" s="40" t="str">
        <f>VLOOKUP(tbl_xbox[[#This Row],[soma]],tbl_apoio5[[#All],[soma]:[output2]],2,FALSE)</f>
        <v>Minecraft</v>
      </c>
      <c r="V230" s="7"/>
    </row>
    <row r="231" spans="1:22" ht="16.5" customHeight="1" x14ac:dyDescent="0.2">
      <c r="A231" s="4">
        <v>3460</v>
      </c>
      <c r="B231" s="4" t="s">
        <v>148</v>
      </c>
      <c r="C231" s="4" t="s">
        <v>14</v>
      </c>
      <c r="D231" s="6">
        <v>45577</v>
      </c>
      <c r="E231" s="4" t="s">
        <v>11</v>
      </c>
      <c r="F231" s="7">
        <v>5</v>
      </c>
      <c r="G231" s="4" t="s">
        <v>19</v>
      </c>
      <c r="H231" s="4" t="s">
        <v>15</v>
      </c>
      <c r="I231" s="7">
        <v>0</v>
      </c>
      <c r="J231" s="4" t="s">
        <v>15</v>
      </c>
      <c r="K231" s="7">
        <v>0</v>
      </c>
      <c r="L231" s="7">
        <v>0</v>
      </c>
      <c r="M231" s="7">
        <v>5</v>
      </c>
      <c r="N231" s="40" t="str">
        <f>IF(tbl_xbox[[#This Row],[Coupon Value]]=$L$3,"No","Yes")</f>
        <v>No</v>
      </c>
      <c r="O231" s="40" t="str">
        <f>IF(OR(tbl_xbox[[#This Row],[EA Play Season Pass]]="Yes",tbl_xbox[[#This Row],[Minecraft Season Pass]]="Yes"),"Yes","No")</f>
        <v>No</v>
      </c>
      <c r="P231" s="40">
        <f>tbl_xbox[[#This Row],[Subscription Price]]+tbl_xbox[[#This Row],[EA Play Season Pass
Price]]+tbl_xbox[[#This Row],[Minecraft Season Pass Price]]</f>
        <v>5</v>
      </c>
      <c r="Q231" s="41">
        <f>VLOOKUP(tbl_xbox[[#This Row],[Plan]],tbl_apoio5[#All],2,FALSE)</f>
        <v>0</v>
      </c>
      <c r="R231" s="41">
        <f>VLOOKUP(tbl_xbox[[#This Row],[EA Play Season Pass]],tbl_apoio5[[EA Play Season Pass]:[output2]],2,FALSE)</f>
        <v>0</v>
      </c>
      <c r="S231" s="41">
        <f>VLOOKUP(tbl_xbox[[#This Row],[Minecraft Season Pass]],tbl_apoio5[[Minecraft Season Pass]:[Minecraft Season Pass2]],2,FALSE)</f>
        <v>0</v>
      </c>
      <c r="T231" s="41">
        <f>SUM(tbl_xbox[[#This Row],[Plan2]:[Minecraft Season Pass2]])</f>
        <v>0</v>
      </c>
      <c r="U231" s="40" t="str">
        <f>VLOOKUP(tbl_xbox[[#This Row],[soma]],tbl_apoio5[[#All],[soma]:[output2]],2,FALSE)</f>
        <v>No Extras</v>
      </c>
      <c r="V231" s="7"/>
    </row>
    <row r="232" spans="1:22" ht="16.5" customHeight="1" x14ac:dyDescent="0.2">
      <c r="A232" s="4">
        <v>3461</v>
      </c>
      <c r="B232" s="4" t="s">
        <v>241</v>
      </c>
      <c r="C232" s="4" t="s">
        <v>10</v>
      </c>
      <c r="D232" s="6">
        <v>45578</v>
      </c>
      <c r="E232" s="4" t="s">
        <v>15</v>
      </c>
      <c r="F232" s="7">
        <v>15</v>
      </c>
      <c r="G232" s="4" t="s">
        <v>12</v>
      </c>
      <c r="H232" s="4" t="s">
        <v>11</v>
      </c>
      <c r="I232" s="7">
        <v>30</v>
      </c>
      <c r="J232" s="4" t="s">
        <v>11</v>
      </c>
      <c r="K232" s="7">
        <v>20</v>
      </c>
      <c r="L232" s="7">
        <v>15</v>
      </c>
      <c r="M232" s="7">
        <v>50</v>
      </c>
      <c r="N232" s="40" t="str">
        <f>IF(tbl_xbox[[#This Row],[Coupon Value]]=$L$3,"No","Yes")</f>
        <v>Yes</v>
      </c>
      <c r="O232" s="40" t="str">
        <f>IF(OR(tbl_xbox[[#This Row],[EA Play Season Pass]]="Yes",tbl_xbox[[#This Row],[Minecraft Season Pass]]="Yes"),"Yes","No")</f>
        <v>Yes</v>
      </c>
      <c r="P232" s="40">
        <f>tbl_xbox[[#This Row],[Subscription Price]]+tbl_xbox[[#This Row],[EA Play Season Pass
Price]]+tbl_xbox[[#This Row],[Minecraft Season Pass Price]]</f>
        <v>65</v>
      </c>
      <c r="Q232" s="41">
        <f>VLOOKUP(tbl_xbox[[#This Row],[Plan]],tbl_apoio5[#All],2,FALSE)</f>
        <v>2</v>
      </c>
      <c r="R232" s="41">
        <f>VLOOKUP(tbl_xbox[[#This Row],[EA Play Season Pass]],tbl_apoio5[[EA Play Season Pass]:[output2]],2,FALSE)</f>
        <v>3</v>
      </c>
      <c r="S232" s="41">
        <f>VLOOKUP(tbl_xbox[[#This Row],[Minecraft Season Pass]],tbl_apoio5[[Minecraft Season Pass]:[Minecraft Season Pass2]],2,FALSE)</f>
        <v>6</v>
      </c>
      <c r="T232" s="41">
        <f>SUM(tbl_xbox[[#This Row],[Plan2]:[Minecraft Season Pass2]])</f>
        <v>11</v>
      </c>
      <c r="U232" s="40" t="str">
        <f>VLOOKUP(tbl_xbox[[#This Row],[soma]],tbl_apoio5[[#All],[soma]:[output2]],2,FALSE)</f>
        <v>EA Play + Minecraft</v>
      </c>
      <c r="V232" s="7"/>
    </row>
    <row r="233" spans="1:22" ht="16.5" customHeight="1" x14ac:dyDescent="0.2">
      <c r="A233" s="4">
        <v>3462</v>
      </c>
      <c r="B233" s="4" t="s">
        <v>242</v>
      </c>
      <c r="C233" s="4" t="s">
        <v>18</v>
      </c>
      <c r="D233" s="6">
        <v>45579</v>
      </c>
      <c r="E233" s="4" t="s">
        <v>11</v>
      </c>
      <c r="F233" s="7">
        <v>10</v>
      </c>
      <c r="G233" s="4" t="s">
        <v>16</v>
      </c>
      <c r="H233" s="4" t="s">
        <v>15</v>
      </c>
      <c r="I233" s="7">
        <v>0</v>
      </c>
      <c r="J233" s="4" t="s">
        <v>11</v>
      </c>
      <c r="K233" s="7">
        <v>20</v>
      </c>
      <c r="L233" s="7">
        <v>15</v>
      </c>
      <c r="M233" s="7">
        <v>15</v>
      </c>
      <c r="N233" s="40" t="str">
        <f>IF(tbl_xbox[[#This Row],[Coupon Value]]=$L$3,"No","Yes")</f>
        <v>Yes</v>
      </c>
      <c r="O233" s="40" t="str">
        <f>IF(OR(tbl_xbox[[#This Row],[EA Play Season Pass]]="Yes",tbl_xbox[[#This Row],[Minecraft Season Pass]]="Yes"),"Yes","No")</f>
        <v>Yes</v>
      </c>
      <c r="P233" s="40">
        <f>tbl_xbox[[#This Row],[Subscription Price]]+tbl_xbox[[#This Row],[EA Play Season Pass
Price]]+tbl_xbox[[#This Row],[Minecraft Season Pass Price]]</f>
        <v>30</v>
      </c>
      <c r="Q233" s="41">
        <f>VLOOKUP(tbl_xbox[[#This Row],[Plan]],tbl_apoio5[#All],2,FALSE)</f>
        <v>1</v>
      </c>
      <c r="R233" s="41">
        <f>VLOOKUP(tbl_xbox[[#This Row],[EA Play Season Pass]],tbl_apoio5[[EA Play Season Pass]:[output2]],2,FALSE)</f>
        <v>0</v>
      </c>
      <c r="S233" s="41">
        <f>VLOOKUP(tbl_xbox[[#This Row],[Minecraft Season Pass]],tbl_apoio5[[Minecraft Season Pass]:[Minecraft Season Pass2]],2,FALSE)</f>
        <v>6</v>
      </c>
      <c r="T233" s="41">
        <f>SUM(tbl_xbox[[#This Row],[Plan2]:[Minecraft Season Pass2]])</f>
        <v>7</v>
      </c>
      <c r="U233" s="40" t="str">
        <f>VLOOKUP(tbl_xbox[[#This Row],[soma]],tbl_apoio5[[#All],[soma]:[output2]],2,FALSE)</f>
        <v>Minecraft</v>
      </c>
      <c r="V233" s="7"/>
    </row>
    <row r="234" spans="1:22" ht="16.5" customHeight="1" x14ac:dyDescent="0.2">
      <c r="A234" s="4">
        <v>3463</v>
      </c>
      <c r="B234" s="4" t="s">
        <v>243</v>
      </c>
      <c r="C234" s="4" t="s">
        <v>14</v>
      </c>
      <c r="D234" s="6">
        <v>45580</v>
      </c>
      <c r="E234" s="4" t="s">
        <v>15</v>
      </c>
      <c r="F234" s="7">
        <v>5</v>
      </c>
      <c r="G234" s="4" t="s">
        <v>12</v>
      </c>
      <c r="H234" s="4" t="s">
        <v>15</v>
      </c>
      <c r="I234" s="7">
        <v>0</v>
      </c>
      <c r="J234" s="4" t="s">
        <v>15</v>
      </c>
      <c r="K234" s="7">
        <v>0</v>
      </c>
      <c r="L234" s="7">
        <v>1</v>
      </c>
      <c r="M234" s="7">
        <v>4</v>
      </c>
      <c r="N234" s="40" t="str">
        <f>IF(tbl_xbox[[#This Row],[Coupon Value]]=$L$3,"No","Yes")</f>
        <v>Yes</v>
      </c>
      <c r="O234" s="40" t="str">
        <f>IF(OR(tbl_xbox[[#This Row],[EA Play Season Pass]]="Yes",tbl_xbox[[#This Row],[Minecraft Season Pass]]="Yes"),"Yes","No")</f>
        <v>No</v>
      </c>
      <c r="P234" s="40">
        <f>tbl_xbox[[#This Row],[Subscription Price]]+tbl_xbox[[#This Row],[EA Play Season Pass
Price]]+tbl_xbox[[#This Row],[Minecraft Season Pass Price]]</f>
        <v>5</v>
      </c>
      <c r="Q234" s="41">
        <f>VLOOKUP(tbl_xbox[[#This Row],[Plan]],tbl_apoio5[#All],2,FALSE)</f>
        <v>0</v>
      </c>
      <c r="R234" s="41">
        <f>VLOOKUP(tbl_xbox[[#This Row],[EA Play Season Pass]],tbl_apoio5[[EA Play Season Pass]:[output2]],2,FALSE)</f>
        <v>0</v>
      </c>
      <c r="S234" s="41">
        <f>VLOOKUP(tbl_xbox[[#This Row],[Minecraft Season Pass]],tbl_apoio5[[Minecraft Season Pass]:[Minecraft Season Pass2]],2,FALSE)</f>
        <v>0</v>
      </c>
      <c r="T234" s="41">
        <f>SUM(tbl_xbox[[#This Row],[Plan2]:[Minecraft Season Pass2]])</f>
        <v>0</v>
      </c>
      <c r="U234" s="40" t="str">
        <f>VLOOKUP(tbl_xbox[[#This Row],[soma]],tbl_apoio5[[#All],[soma]:[output2]],2,FALSE)</f>
        <v>No Extras</v>
      </c>
      <c r="V234" s="7"/>
    </row>
    <row r="235" spans="1:22" ht="16.5" customHeight="1" x14ac:dyDescent="0.2">
      <c r="A235" s="4">
        <v>3464</v>
      </c>
      <c r="B235" s="4" t="s">
        <v>244</v>
      </c>
      <c r="C235" s="4" t="s">
        <v>10</v>
      </c>
      <c r="D235" s="6">
        <v>45581</v>
      </c>
      <c r="E235" s="4" t="s">
        <v>11</v>
      </c>
      <c r="F235" s="7">
        <v>15</v>
      </c>
      <c r="G235" s="4" t="s">
        <v>19</v>
      </c>
      <c r="H235" s="4" t="s">
        <v>11</v>
      </c>
      <c r="I235" s="7">
        <v>30</v>
      </c>
      <c r="J235" s="4" t="s">
        <v>11</v>
      </c>
      <c r="K235" s="7">
        <v>20</v>
      </c>
      <c r="L235" s="7">
        <v>7</v>
      </c>
      <c r="M235" s="7">
        <v>58</v>
      </c>
      <c r="N235" s="40" t="str">
        <f>IF(tbl_xbox[[#This Row],[Coupon Value]]=$L$3,"No","Yes")</f>
        <v>Yes</v>
      </c>
      <c r="O235" s="40" t="str">
        <f>IF(OR(tbl_xbox[[#This Row],[EA Play Season Pass]]="Yes",tbl_xbox[[#This Row],[Minecraft Season Pass]]="Yes"),"Yes","No")</f>
        <v>Yes</v>
      </c>
      <c r="P235" s="40">
        <f>tbl_xbox[[#This Row],[Subscription Price]]+tbl_xbox[[#This Row],[EA Play Season Pass
Price]]+tbl_xbox[[#This Row],[Minecraft Season Pass Price]]</f>
        <v>65</v>
      </c>
      <c r="Q235" s="41">
        <f>VLOOKUP(tbl_xbox[[#This Row],[Plan]],tbl_apoio5[#All],2,FALSE)</f>
        <v>2</v>
      </c>
      <c r="R235" s="41">
        <f>VLOOKUP(tbl_xbox[[#This Row],[EA Play Season Pass]],tbl_apoio5[[EA Play Season Pass]:[output2]],2,FALSE)</f>
        <v>3</v>
      </c>
      <c r="S235" s="41">
        <f>VLOOKUP(tbl_xbox[[#This Row],[Minecraft Season Pass]],tbl_apoio5[[Minecraft Season Pass]:[Minecraft Season Pass2]],2,FALSE)</f>
        <v>6</v>
      </c>
      <c r="T235" s="41">
        <f>SUM(tbl_xbox[[#This Row],[Plan2]:[Minecraft Season Pass2]])</f>
        <v>11</v>
      </c>
      <c r="U235" s="40" t="str">
        <f>VLOOKUP(tbl_xbox[[#This Row],[soma]],tbl_apoio5[[#All],[soma]:[output2]],2,FALSE)</f>
        <v>EA Play + Minecraft</v>
      </c>
      <c r="V235" s="7"/>
    </row>
    <row r="236" spans="1:22" ht="16.5" customHeight="1" x14ac:dyDescent="0.2">
      <c r="A236" s="4">
        <v>3465</v>
      </c>
      <c r="B236" s="4" t="s">
        <v>245</v>
      </c>
      <c r="C236" s="4" t="s">
        <v>18</v>
      </c>
      <c r="D236" s="6">
        <v>45582</v>
      </c>
      <c r="E236" s="4" t="s">
        <v>15</v>
      </c>
      <c r="F236" s="7">
        <v>10</v>
      </c>
      <c r="G236" s="4" t="s">
        <v>12</v>
      </c>
      <c r="H236" s="4" t="s">
        <v>15</v>
      </c>
      <c r="I236" s="7">
        <v>0</v>
      </c>
      <c r="J236" s="4" t="s">
        <v>11</v>
      </c>
      <c r="K236" s="7">
        <v>20</v>
      </c>
      <c r="L236" s="7">
        <v>10</v>
      </c>
      <c r="M236" s="7">
        <v>20</v>
      </c>
      <c r="N236" s="40" t="str">
        <f>IF(tbl_xbox[[#This Row],[Coupon Value]]=$L$3,"No","Yes")</f>
        <v>Yes</v>
      </c>
      <c r="O236" s="40" t="str">
        <f>IF(OR(tbl_xbox[[#This Row],[EA Play Season Pass]]="Yes",tbl_xbox[[#This Row],[Minecraft Season Pass]]="Yes"),"Yes","No")</f>
        <v>Yes</v>
      </c>
      <c r="P236" s="40">
        <f>tbl_xbox[[#This Row],[Subscription Price]]+tbl_xbox[[#This Row],[EA Play Season Pass
Price]]+tbl_xbox[[#This Row],[Minecraft Season Pass Price]]</f>
        <v>30</v>
      </c>
      <c r="Q236" s="41">
        <f>VLOOKUP(tbl_xbox[[#This Row],[Plan]],tbl_apoio5[#All],2,FALSE)</f>
        <v>1</v>
      </c>
      <c r="R236" s="41">
        <f>VLOOKUP(tbl_xbox[[#This Row],[EA Play Season Pass]],tbl_apoio5[[EA Play Season Pass]:[output2]],2,FALSE)</f>
        <v>0</v>
      </c>
      <c r="S236" s="41">
        <f>VLOOKUP(tbl_xbox[[#This Row],[Minecraft Season Pass]],tbl_apoio5[[Minecraft Season Pass]:[Minecraft Season Pass2]],2,FALSE)</f>
        <v>6</v>
      </c>
      <c r="T236" s="41">
        <f>SUM(tbl_xbox[[#This Row],[Plan2]:[Minecraft Season Pass2]])</f>
        <v>7</v>
      </c>
      <c r="U236" s="40" t="str">
        <f>VLOOKUP(tbl_xbox[[#This Row],[soma]],tbl_apoio5[[#All],[soma]:[output2]],2,FALSE)</f>
        <v>Minecraft</v>
      </c>
      <c r="V236" s="7"/>
    </row>
    <row r="237" spans="1:22" ht="16.5" customHeight="1" x14ac:dyDescent="0.2">
      <c r="A237" s="4">
        <v>3466</v>
      </c>
      <c r="B237" s="4" t="s">
        <v>246</v>
      </c>
      <c r="C237" s="4" t="s">
        <v>14</v>
      </c>
      <c r="D237" s="6">
        <v>45583</v>
      </c>
      <c r="E237" s="4" t="s">
        <v>11</v>
      </c>
      <c r="F237" s="7">
        <v>5</v>
      </c>
      <c r="G237" s="4" t="s">
        <v>16</v>
      </c>
      <c r="H237" s="4" t="s">
        <v>15</v>
      </c>
      <c r="I237" s="7">
        <v>0</v>
      </c>
      <c r="J237" s="4" t="s">
        <v>15</v>
      </c>
      <c r="K237" s="7">
        <v>0</v>
      </c>
      <c r="L237" s="7">
        <v>0</v>
      </c>
      <c r="M237" s="7">
        <v>5</v>
      </c>
      <c r="N237" s="40" t="str">
        <f>IF(tbl_xbox[[#This Row],[Coupon Value]]=$L$3,"No","Yes")</f>
        <v>No</v>
      </c>
      <c r="O237" s="40" t="str">
        <f>IF(OR(tbl_xbox[[#This Row],[EA Play Season Pass]]="Yes",tbl_xbox[[#This Row],[Minecraft Season Pass]]="Yes"),"Yes","No")</f>
        <v>No</v>
      </c>
      <c r="P237" s="40">
        <f>tbl_xbox[[#This Row],[Subscription Price]]+tbl_xbox[[#This Row],[EA Play Season Pass
Price]]+tbl_xbox[[#This Row],[Minecraft Season Pass Price]]</f>
        <v>5</v>
      </c>
      <c r="Q237" s="41">
        <f>VLOOKUP(tbl_xbox[[#This Row],[Plan]],tbl_apoio5[#All],2,FALSE)</f>
        <v>0</v>
      </c>
      <c r="R237" s="41">
        <f>VLOOKUP(tbl_xbox[[#This Row],[EA Play Season Pass]],tbl_apoio5[[EA Play Season Pass]:[output2]],2,FALSE)</f>
        <v>0</v>
      </c>
      <c r="S237" s="41">
        <f>VLOOKUP(tbl_xbox[[#This Row],[Minecraft Season Pass]],tbl_apoio5[[Minecraft Season Pass]:[Minecraft Season Pass2]],2,FALSE)</f>
        <v>0</v>
      </c>
      <c r="T237" s="41">
        <f>SUM(tbl_xbox[[#This Row],[Plan2]:[Minecraft Season Pass2]])</f>
        <v>0</v>
      </c>
      <c r="U237" s="40" t="str">
        <f>VLOOKUP(tbl_xbox[[#This Row],[soma]],tbl_apoio5[[#All],[soma]:[output2]],2,FALSE)</f>
        <v>No Extras</v>
      </c>
      <c r="V237" s="7"/>
    </row>
    <row r="238" spans="1:22" ht="16.5" customHeight="1" x14ac:dyDescent="0.2">
      <c r="A238" s="4">
        <v>3467</v>
      </c>
      <c r="B238" s="4" t="s">
        <v>247</v>
      </c>
      <c r="C238" s="4" t="s">
        <v>10</v>
      </c>
      <c r="D238" s="6">
        <v>45584</v>
      </c>
      <c r="E238" s="4" t="s">
        <v>15</v>
      </c>
      <c r="F238" s="7">
        <v>15</v>
      </c>
      <c r="G238" s="4" t="s">
        <v>12</v>
      </c>
      <c r="H238" s="4" t="s">
        <v>11</v>
      </c>
      <c r="I238" s="7">
        <v>30</v>
      </c>
      <c r="J238" s="4" t="s">
        <v>11</v>
      </c>
      <c r="K238" s="7">
        <v>20</v>
      </c>
      <c r="L238" s="7">
        <v>15</v>
      </c>
      <c r="M238" s="7">
        <v>50</v>
      </c>
      <c r="N238" s="40" t="str">
        <f>IF(tbl_xbox[[#This Row],[Coupon Value]]=$L$3,"No","Yes")</f>
        <v>Yes</v>
      </c>
      <c r="O238" s="40" t="str">
        <f>IF(OR(tbl_xbox[[#This Row],[EA Play Season Pass]]="Yes",tbl_xbox[[#This Row],[Minecraft Season Pass]]="Yes"),"Yes","No")</f>
        <v>Yes</v>
      </c>
      <c r="P238" s="40">
        <f>tbl_xbox[[#This Row],[Subscription Price]]+tbl_xbox[[#This Row],[EA Play Season Pass
Price]]+tbl_xbox[[#This Row],[Minecraft Season Pass Price]]</f>
        <v>65</v>
      </c>
      <c r="Q238" s="41">
        <f>VLOOKUP(tbl_xbox[[#This Row],[Plan]],tbl_apoio5[#All],2,FALSE)</f>
        <v>2</v>
      </c>
      <c r="R238" s="41">
        <f>VLOOKUP(tbl_xbox[[#This Row],[EA Play Season Pass]],tbl_apoio5[[EA Play Season Pass]:[output2]],2,FALSE)</f>
        <v>3</v>
      </c>
      <c r="S238" s="41">
        <f>VLOOKUP(tbl_xbox[[#This Row],[Minecraft Season Pass]],tbl_apoio5[[Minecraft Season Pass]:[Minecraft Season Pass2]],2,FALSE)</f>
        <v>6</v>
      </c>
      <c r="T238" s="41">
        <f>SUM(tbl_xbox[[#This Row],[Plan2]:[Minecraft Season Pass2]])</f>
        <v>11</v>
      </c>
      <c r="U238" s="40" t="str">
        <f>VLOOKUP(tbl_xbox[[#This Row],[soma]],tbl_apoio5[[#All],[soma]:[output2]],2,FALSE)</f>
        <v>EA Play + Minecraft</v>
      </c>
      <c r="V238" s="7"/>
    </row>
    <row r="239" spans="1:22" ht="16.5" customHeight="1" x14ac:dyDescent="0.2">
      <c r="A239" s="4">
        <v>3468</v>
      </c>
      <c r="B239" s="4" t="s">
        <v>248</v>
      </c>
      <c r="C239" s="4" t="s">
        <v>18</v>
      </c>
      <c r="D239" s="6">
        <v>45585</v>
      </c>
      <c r="E239" s="4" t="s">
        <v>11</v>
      </c>
      <c r="F239" s="7">
        <v>10</v>
      </c>
      <c r="G239" s="4" t="s">
        <v>19</v>
      </c>
      <c r="H239" s="4" t="s">
        <v>15</v>
      </c>
      <c r="I239" s="7">
        <v>0</v>
      </c>
      <c r="J239" s="4" t="s">
        <v>11</v>
      </c>
      <c r="K239" s="7">
        <v>20</v>
      </c>
      <c r="L239" s="7">
        <v>12</v>
      </c>
      <c r="M239" s="7">
        <v>18</v>
      </c>
      <c r="N239" s="40" t="str">
        <f>IF(tbl_xbox[[#This Row],[Coupon Value]]=$L$3,"No","Yes")</f>
        <v>Yes</v>
      </c>
      <c r="O239" s="40" t="str">
        <f>IF(OR(tbl_xbox[[#This Row],[EA Play Season Pass]]="Yes",tbl_xbox[[#This Row],[Minecraft Season Pass]]="Yes"),"Yes","No")</f>
        <v>Yes</v>
      </c>
      <c r="P239" s="40">
        <f>tbl_xbox[[#This Row],[Subscription Price]]+tbl_xbox[[#This Row],[EA Play Season Pass
Price]]+tbl_xbox[[#This Row],[Minecraft Season Pass Price]]</f>
        <v>30</v>
      </c>
      <c r="Q239" s="41">
        <f>VLOOKUP(tbl_xbox[[#This Row],[Plan]],tbl_apoio5[#All],2,FALSE)</f>
        <v>1</v>
      </c>
      <c r="R239" s="41">
        <f>VLOOKUP(tbl_xbox[[#This Row],[EA Play Season Pass]],tbl_apoio5[[EA Play Season Pass]:[output2]],2,FALSE)</f>
        <v>0</v>
      </c>
      <c r="S239" s="41">
        <f>VLOOKUP(tbl_xbox[[#This Row],[Minecraft Season Pass]],tbl_apoio5[[Minecraft Season Pass]:[Minecraft Season Pass2]],2,FALSE)</f>
        <v>6</v>
      </c>
      <c r="T239" s="41">
        <f>SUM(tbl_xbox[[#This Row],[Plan2]:[Minecraft Season Pass2]])</f>
        <v>7</v>
      </c>
      <c r="U239" s="40" t="str">
        <f>VLOOKUP(tbl_xbox[[#This Row],[soma]],tbl_apoio5[[#All],[soma]:[output2]],2,FALSE)</f>
        <v>Minecraft</v>
      </c>
      <c r="V239" s="7"/>
    </row>
    <row r="240" spans="1:22" ht="16.5" customHeight="1" x14ac:dyDescent="0.2">
      <c r="A240" s="4">
        <v>3469</v>
      </c>
      <c r="B240" s="4" t="s">
        <v>249</v>
      </c>
      <c r="C240" s="4" t="s">
        <v>14</v>
      </c>
      <c r="D240" s="6">
        <v>45586</v>
      </c>
      <c r="E240" s="4" t="s">
        <v>15</v>
      </c>
      <c r="F240" s="7">
        <v>5</v>
      </c>
      <c r="G240" s="4" t="s">
        <v>12</v>
      </c>
      <c r="H240" s="4" t="s">
        <v>15</v>
      </c>
      <c r="I240" s="7">
        <v>0</v>
      </c>
      <c r="J240" s="4" t="s">
        <v>15</v>
      </c>
      <c r="K240" s="7">
        <v>0</v>
      </c>
      <c r="L240" s="7">
        <v>2</v>
      </c>
      <c r="M240" s="7">
        <v>3</v>
      </c>
      <c r="N240" s="40" t="str">
        <f>IF(tbl_xbox[[#This Row],[Coupon Value]]=$L$3,"No","Yes")</f>
        <v>Yes</v>
      </c>
      <c r="O240" s="40" t="str">
        <f>IF(OR(tbl_xbox[[#This Row],[EA Play Season Pass]]="Yes",tbl_xbox[[#This Row],[Minecraft Season Pass]]="Yes"),"Yes","No")</f>
        <v>No</v>
      </c>
      <c r="P240" s="40">
        <f>tbl_xbox[[#This Row],[Subscription Price]]+tbl_xbox[[#This Row],[EA Play Season Pass
Price]]+tbl_xbox[[#This Row],[Minecraft Season Pass Price]]</f>
        <v>5</v>
      </c>
      <c r="Q240" s="41">
        <f>VLOOKUP(tbl_xbox[[#This Row],[Plan]],tbl_apoio5[#All],2,FALSE)</f>
        <v>0</v>
      </c>
      <c r="R240" s="41">
        <f>VLOOKUP(tbl_xbox[[#This Row],[EA Play Season Pass]],tbl_apoio5[[EA Play Season Pass]:[output2]],2,FALSE)</f>
        <v>0</v>
      </c>
      <c r="S240" s="41">
        <f>VLOOKUP(tbl_xbox[[#This Row],[Minecraft Season Pass]],tbl_apoio5[[Minecraft Season Pass]:[Minecraft Season Pass2]],2,FALSE)</f>
        <v>0</v>
      </c>
      <c r="T240" s="41">
        <f>SUM(tbl_xbox[[#This Row],[Plan2]:[Minecraft Season Pass2]])</f>
        <v>0</v>
      </c>
      <c r="U240" s="40" t="str">
        <f>VLOOKUP(tbl_xbox[[#This Row],[soma]],tbl_apoio5[[#All],[soma]:[output2]],2,FALSE)</f>
        <v>No Extras</v>
      </c>
      <c r="V240" s="7"/>
    </row>
    <row r="241" spans="1:22" ht="16.5" customHeight="1" x14ac:dyDescent="0.2">
      <c r="A241" s="4">
        <v>3470</v>
      </c>
      <c r="B241" s="4" t="s">
        <v>250</v>
      </c>
      <c r="C241" s="4" t="s">
        <v>10</v>
      </c>
      <c r="D241" s="6">
        <v>45587</v>
      </c>
      <c r="E241" s="4" t="s">
        <v>11</v>
      </c>
      <c r="F241" s="7">
        <v>15</v>
      </c>
      <c r="G241" s="4" t="s">
        <v>16</v>
      </c>
      <c r="H241" s="4" t="s">
        <v>11</v>
      </c>
      <c r="I241" s="7">
        <v>30</v>
      </c>
      <c r="J241" s="4" t="s">
        <v>11</v>
      </c>
      <c r="K241" s="7">
        <v>20</v>
      </c>
      <c r="L241" s="7">
        <v>5</v>
      </c>
      <c r="M241" s="7">
        <v>60</v>
      </c>
      <c r="N241" s="40" t="str">
        <f>IF(tbl_xbox[[#This Row],[Coupon Value]]=$L$3,"No","Yes")</f>
        <v>Yes</v>
      </c>
      <c r="O241" s="40" t="str">
        <f>IF(OR(tbl_xbox[[#This Row],[EA Play Season Pass]]="Yes",tbl_xbox[[#This Row],[Minecraft Season Pass]]="Yes"),"Yes","No")</f>
        <v>Yes</v>
      </c>
      <c r="P241" s="40">
        <f>tbl_xbox[[#This Row],[Subscription Price]]+tbl_xbox[[#This Row],[EA Play Season Pass
Price]]+tbl_xbox[[#This Row],[Minecraft Season Pass Price]]</f>
        <v>65</v>
      </c>
      <c r="Q241" s="41">
        <f>VLOOKUP(tbl_xbox[[#This Row],[Plan]],tbl_apoio5[#All],2,FALSE)</f>
        <v>2</v>
      </c>
      <c r="R241" s="41">
        <f>VLOOKUP(tbl_xbox[[#This Row],[EA Play Season Pass]],tbl_apoio5[[EA Play Season Pass]:[output2]],2,FALSE)</f>
        <v>3</v>
      </c>
      <c r="S241" s="41">
        <f>VLOOKUP(tbl_xbox[[#This Row],[Minecraft Season Pass]],tbl_apoio5[[Minecraft Season Pass]:[Minecraft Season Pass2]],2,FALSE)</f>
        <v>6</v>
      </c>
      <c r="T241" s="41">
        <f>SUM(tbl_xbox[[#This Row],[Plan2]:[Minecraft Season Pass2]])</f>
        <v>11</v>
      </c>
      <c r="U241" s="40" t="str">
        <f>VLOOKUP(tbl_xbox[[#This Row],[soma]],tbl_apoio5[[#All],[soma]:[output2]],2,FALSE)</f>
        <v>EA Play + Minecraft</v>
      </c>
      <c r="V241" s="7"/>
    </row>
    <row r="242" spans="1:22" ht="16.5" customHeight="1" x14ac:dyDescent="0.2">
      <c r="A242" s="4">
        <v>3471</v>
      </c>
      <c r="B242" s="4" t="s">
        <v>251</v>
      </c>
      <c r="C242" s="4" t="s">
        <v>18</v>
      </c>
      <c r="D242" s="6">
        <v>45588</v>
      </c>
      <c r="E242" s="4" t="s">
        <v>15</v>
      </c>
      <c r="F242" s="7">
        <v>10</v>
      </c>
      <c r="G242" s="4" t="s">
        <v>12</v>
      </c>
      <c r="H242" s="4" t="s">
        <v>15</v>
      </c>
      <c r="I242" s="7">
        <v>0</v>
      </c>
      <c r="J242" s="4" t="s">
        <v>11</v>
      </c>
      <c r="K242" s="7">
        <v>20</v>
      </c>
      <c r="L242" s="7">
        <v>10</v>
      </c>
      <c r="M242" s="7">
        <v>20</v>
      </c>
      <c r="N242" s="40" t="str">
        <f>IF(tbl_xbox[[#This Row],[Coupon Value]]=$L$3,"No","Yes")</f>
        <v>Yes</v>
      </c>
      <c r="O242" s="40" t="str">
        <f>IF(OR(tbl_xbox[[#This Row],[EA Play Season Pass]]="Yes",tbl_xbox[[#This Row],[Minecraft Season Pass]]="Yes"),"Yes","No")</f>
        <v>Yes</v>
      </c>
      <c r="P242" s="40">
        <f>tbl_xbox[[#This Row],[Subscription Price]]+tbl_xbox[[#This Row],[EA Play Season Pass
Price]]+tbl_xbox[[#This Row],[Minecraft Season Pass Price]]</f>
        <v>30</v>
      </c>
      <c r="Q242" s="41">
        <f>VLOOKUP(tbl_xbox[[#This Row],[Plan]],tbl_apoio5[#All],2,FALSE)</f>
        <v>1</v>
      </c>
      <c r="R242" s="41">
        <f>VLOOKUP(tbl_xbox[[#This Row],[EA Play Season Pass]],tbl_apoio5[[EA Play Season Pass]:[output2]],2,FALSE)</f>
        <v>0</v>
      </c>
      <c r="S242" s="41">
        <f>VLOOKUP(tbl_xbox[[#This Row],[Minecraft Season Pass]],tbl_apoio5[[Minecraft Season Pass]:[Minecraft Season Pass2]],2,FALSE)</f>
        <v>6</v>
      </c>
      <c r="T242" s="41">
        <f>SUM(tbl_xbox[[#This Row],[Plan2]:[Minecraft Season Pass2]])</f>
        <v>7</v>
      </c>
      <c r="U242" s="40" t="str">
        <f>VLOOKUP(tbl_xbox[[#This Row],[soma]],tbl_apoio5[[#All],[soma]:[output2]],2,FALSE)</f>
        <v>Minecraft</v>
      </c>
      <c r="V242" s="7"/>
    </row>
    <row r="243" spans="1:22" ht="16.5" customHeight="1" x14ac:dyDescent="0.2">
      <c r="A243" s="4">
        <v>3472</v>
      </c>
      <c r="B243" s="4" t="s">
        <v>252</v>
      </c>
      <c r="C243" s="4" t="s">
        <v>14</v>
      </c>
      <c r="D243" s="6">
        <v>45589</v>
      </c>
      <c r="E243" s="4" t="s">
        <v>11</v>
      </c>
      <c r="F243" s="7">
        <v>5</v>
      </c>
      <c r="G243" s="4" t="s">
        <v>19</v>
      </c>
      <c r="H243" s="4" t="s">
        <v>15</v>
      </c>
      <c r="I243" s="7">
        <v>0</v>
      </c>
      <c r="J243" s="4" t="s">
        <v>15</v>
      </c>
      <c r="K243" s="7">
        <v>0</v>
      </c>
      <c r="L243" s="7">
        <v>0</v>
      </c>
      <c r="M243" s="7">
        <v>5</v>
      </c>
      <c r="N243" s="40" t="str">
        <f>IF(tbl_xbox[[#This Row],[Coupon Value]]=$L$3,"No","Yes")</f>
        <v>No</v>
      </c>
      <c r="O243" s="40" t="str">
        <f>IF(OR(tbl_xbox[[#This Row],[EA Play Season Pass]]="Yes",tbl_xbox[[#This Row],[Minecraft Season Pass]]="Yes"),"Yes","No")</f>
        <v>No</v>
      </c>
      <c r="P243" s="40">
        <f>tbl_xbox[[#This Row],[Subscription Price]]+tbl_xbox[[#This Row],[EA Play Season Pass
Price]]+tbl_xbox[[#This Row],[Minecraft Season Pass Price]]</f>
        <v>5</v>
      </c>
      <c r="Q243" s="41">
        <f>VLOOKUP(tbl_xbox[[#This Row],[Plan]],tbl_apoio5[#All],2,FALSE)</f>
        <v>0</v>
      </c>
      <c r="R243" s="41">
        <f>VLOOKUP(tbl_xbox[[#This Row],[EA Play Season Pass]],tbl_apoio5[[EA Play Season Pass]:[output2]],2,FALSE)</f>
        <v>0</v>
      </c>
      <c r="S243" s="41">
        <f>VLOOKUP(tbl_xbox[[#This Row],[Minecraft Season Pass]],tbl_apoio5[[Minecraft Season Pass]:[Minecraft Season Pass2]],2,FALSE)</f>
        <v>0</v>
      </c>
      <c r="T243" s="41">
        <f>SUM(tbl_xbox[[#This Row],[Plan2]:[Minecraft Season Pass2]])</f>
        <v>0</v>
      </c>
      <c r="U243" s="40" t="str">
        <f>VLOOKUP(tbl_xbox[[#This Row],[soma]],tbl_apoio5[[#All],[soma]:[output2]],2,FALSE)</f>
        <v>No Extras</v>
      </c>
      <c r="V243" s="7"/>
    </row>
    <row r="244" spans="1:22" ht="16.5" customHeight="1" x14ac:dyDescent="0.2">
      <c r="A244" s="4">
        <v>3473</v>
      </c>
      <c r="B244" s="4" t="s">
        <v>161</v>
      </c>
      <c r="C244" s="4" t="s">
        <v>10</v>
      </c>
      <c r="D244" s="6">
        <v>45590</v>
      </c>
      <c r="E244" s="4" t="s">
        <v>15</v>
      </c>
      <c r="F244" s="7">
        <v>15</v>
      </c>
      <c r="G244" s="4" t="s">
        <v>12</v>
      </c>
      <c r="H244" s="4" t="s">
        <v>11</v>
      </c>
      <c r="I244" s="7">
        <v>30</v>
      </c>
      <c r="J244" s="4" t="s">
        <v>11</v>
      </c>
      <c r="K244" s="7">
        <v>20</v>
      </c>
      <c r="L244" s="7">
        <v>3</v>
      </c>
      <c r="M244" s="7">
        <v>62</v>
      </c>
      <c r="N244" s="40" t="str">
        <f>IF(tbl_xbox[[#This Row],[Coupon Value]]=$L$3,"No","Yes")</f>
        <v>Yes</v>
      </c>
      <c r="O244" s="40" t="str">
        <f>IF(OR(tbl_xbox[[#This Row],[EA Play Season Pass]]="Yes",tbl_xbox[[#This Row],[Minecraft Season Pass]]="Yes"),"Yes","No")</f>
        <v>Yes</v>
      </c>
      <c r="P244" s="40">
        <f>tbl_xbox[[#This Row],[Subscription Price]]+tbl_xbox[[#This Row],[EA Play Season Pass
Price]]+tbl_xbox[[#This Row],[Minecraft Season Pass Price]]</f>
        <v>65</v>
      </c>
      <c r="Q244" s="41">
        <f>VLOOKUP(tbl_xbox[[#This Row],[Plan]],tbl_apoio5[#All],2,FALSE)</f>
        <v>2</v>
      </c>
      <c r="R244" s="41">
        <f>VLOOKUP(tbl_xbox[[#This Row],[EA Play Season Pass]],tbl_apoio5[[EA Play Season Pass]:[output2]],2,FALSE)</f>
        <v>3</v>
      </c>
      <c r="S244" s="41">
        <f>VLOOKUP(tbl_xbox[[#This Row],[Minecraft Season Pass]],tbl_apoio5[[Minecraft Season Pass]:[Minecraft Season Pass2]],2,FALSE)</f>
        <v>6</v>
      </c>
      <c r="T244" s="41">
        <f>SUM(tbl_xbox[[#This Row],[Plan2]:[Minecraft Season Pass2]])</f>
        <v>11</v>
      </c>
      <c r="U244" s="40" t="str">
        <f>VLOOKUP(tbl_xbox[[#This Row],[soma]],tbl_apoio5[[#All],[soma]:[output2]],2,FALSE)</f>
        <v>EA Play + Minecraft</v>
      </c>
      <c r="V244" s="7"/>
    </row>
    <row r="245" spans="1:22" ht="16.5" customHeight="1" x14ac:dyDescent="0.2">
      <c r="A245" s="4">
        <v>3474</v>
      </c>
      <c r="B245" s="4" t="s">
        <v>253</v>
      </c>
      <c r="C245" s="4" t="s">
        <v>18</v>
      </c>
      <c r="D245" s="6">
        <v>45591</v>
      </c>
      <c r="E245" s="4" t="s">
        <v>11</v>
      </c>
      <c r="F245" s="7">
        <v>10</v>
      </c>
      <c r="G245" s="4" t="s">
        <v>16</v>
      </c>
      <c r="H245" s="4" t="s">
        <v>15</v>
      </c>
      <c r="I245" s="7">
        <v>0</v>
      </c>
      <c r="J245" s="4" t="s">
        <v>11</v>
      </c>
      <c r="K245" s="7">
        <v>20</v>
      </c>
      <c r="L245" s="7">
        <v>15</v>
      </c>
      <c r="M245" s="7">
        <v>15</v>
      </c>
      <c r="N245" s="40" t="str">
        <f>IF(tbl_xbox[[#This Row],[Coupon Value]]=$L$3,"No","Yes")</f>
        <v>Yes</v>
      </c>
      <c r="O245" s="40" t="str">
        <f>IF(OR(tbl_xbox[[#This Row],[EA Play Season Pass]]="Yes",tbl_xbox[[#This Row],[Minecraft Season Pass]]="Yes"),"Yes","No")</f>
        <v>Yes</v>
      </c>
      <c r="P245" s="40">
        <f>tbl_xbox[[#This Row],[Subscription Price]]+tbl_xbox[[#This Row],[EA Play Season Pass
Price]]+tbl_xbox[[#This Row],[Minecraft Season Pass Price]]</f>
        <v>30</v>
      </c>
      <c r="Q245" s="41">
        <f>VLOOKUP(tbl_xbox[[#This Row],[Plan]],tbl_apoio5[#All],2,FALSE)</f>
        <v>1</v>
      </c>
      <c r="R245" s="41">
        <f>VLOOKUP(tbl_xbox[[#This Row],[EA Play Season Pass]],tbl_apoio5[[EA Play Season Pass]:[output2]],2,FALSE)</f>
        <v>0</v>
      </c>
      <c r="S245" s="41">
        <f>VLOOKUP(tbl_xbox[[#This Row],[Minecraft Season Pass]],tbl_apoio5[[Minecraft Season Pass]:[Minecraft Season Pass2]],2,FALSE)</f>
        <v>6</v>
      </c>
      <c r="T245" s="41">
        <f>SUM(tbl_xbox[[#This Row],[Plan2]:[Minecraft Season Pass2]])</f>
        <v>7</v>
      </c>
      <c r="U245" s="40" t="str">
        <f>VLOOKUP(tbl_xbox[[#This Row],[soma]],tbl_apoio5[[#All],[soma]:[output2]],2,FALSE)</f>
        <v>Minecraft</v>
      </c>
      <c r="V245" s="7"/>
    </row>
    <row r="246" spans="1:22" ht="16.5" customHeight="1" x14ac:dyDescent="0.2">
      <c r="A246" s="4">
        <v>3475</v>
      </c>
      <c r="B246" s="4" t="s">
        <v>254</v>
      </c>
      <c r="C246" s="4" t="s">
        <v>14</v>
      </c>
      <c r="D246" s="6">
        <v>45592</v>
      </c>
      <c r="E246" s="4" t="s">
        <v>15</v>
      </c>
      <c r="F246" s="7">
        <v>5</v>
      </c>
      <c r="G246" s="4" t="s">
        <v>12</v>
      </c>
      <c r="H246" s="4" t="s">
        <v>15</v>
      </c>
      <c r="I246" s="7">
        <v>0</v>
      </c>
      <c r="J246" s="4" t="s">
        <v>15</v>
      </c>
      <c r="K246" s="7">
        <v>0</v>
      </c>
      <c r="L246" s="7">
        <v>1</v>
      </c>
      <c r="M246" s="7">
        <v>4</v>
      </c>
      <c r="N246" s="40" t="str">
        <f>IF(tbl_xbox[[#This Row],[Coupon Value]]=$L$3,"No","Yes")</f>
        <v>Yes</v>
      </c>
      <c r="O246" s="40" t="str">
        <f>IF(OR(tbl_xbox[[#This Row],[EA Play Season Pass]]="Yes",tbl_xbox[[#This Row],[Minecraft Season Pass]]="Yes"),"Yes","No")</f>
        <v>No</v>
      </c>
      <c r="P246" s="40">
        <f>tbl_xbox[[#This Row],[Subscription Price]]+tbl_xbox[[#This Row],[EA Play Season Pass
Price]]+tbl_xbox[[#This Row],[Minecraft Season Pass Price]]</f>
        <v>5</v>
      </c>
      <c r="Q246" s="41">
        <f>VLOOKUP(tbl_xbox[[#This Row],[Plan]],tbl_apoio5[#All],2,FALSE)</f>
        <v>0</v>
      </c>
      <c r="R246" s="41">
        <f>VLOOKUP(tbl_xbox[[#This Row],[EA Play Season Pass]],tbl_apoio5[[EA Play Season Pass]:[output2]],2,FALSE)</f>
        <v>0</v>
      </c>
      <c r="S246" s="41">
        <f>VLOOKUP(tbl_xbox[[#This Row],[Minecraft Season Pass]],tbl_apoio5[[Minecraft Season Pass]:[Minecraft Season Pass2]],2,FALSE)</f>
        <v>0</v>
      </c>
      <c r="T246" s="41">
        <f>SUM(tbl_xbox[[#This Row],[Plan2]:[Minecraft Season Pass2]])</f>
        <v>0</v>
      </c>
      <c r="U246" s="40" t="str">
        <f>VLOOKUP(tbl_xbox[[#This Row],[soma]],tbl_apoio5[[#All],[soma]:[output2]],2,FALSE)</f>
        <v>No Extras</v>
      </c>
      <c r="V246" s="7"/>
    </row>
    <row r="247" spans="1:22" ht="16.5" customHeight="1" x14ac:dyDescent="0.2">
      <c r="A247" s="4">
        <v>3476</v>
      </c>
      <c r="B247" s="4" t="s">
        <v>255</v>
      </c>
      <c r="C247" s="4" t="s">
        <v>10</v>
      </c>
      <c r="D247" s="6">
        <v>45593</v>
      </c>
      <c r="E247" s="4" t="s">
        <v>11</v>
      </c>
      <c r="F247" s="7">
        <v>15</v>
      </c>
      <c r="G247" s="4" t="s">
        <v>19</v>
      </c>
      <c r="H247" s="4" t="s">
        <v>11</v>
      </c>
      <c r="I247" s="7">
        <v>30</v>
      </c>
      <c r="J247" s="4" t="s">
        <v>11</v>
      </c>
      <c r="K247" s="7">
        <v>20</v>
      </c>
      <c r="L247" s="7">
        <v>7</v>
      </c>
      <c r="M247" s="7">
        <v>58</v>
      </c>
      <c r="N247" s="40" t="str">
        <f>IF(tbl_xbox[[#This Row],[Coupon Value]]=$L$3,"No","Yes")</f>
        <v>Yes</v>
      </c>
      <c r="O247" s="40" t="str">
        <f>IF(OR(tbl_xbox[[#This Row],[EA Play Season Pass]]="Yes",tbl_xbox[[#This Row],[Minecraft Season Pass]]="Yes"),"Yes","No")</f>
        <v>Yes</v>
      </c>
      <c r="P247" s="40">
        <f>tbl_xbox[[#This Row],[Subscription Price]]+tbl_xbox[[#This Row],[EA Play Season Pass
Price]]+tbl_xbox[[#This Row],[Minecraft Season Pass Price]]</f>
        <v>65</v>
      </c>
      <c r="Q247" s="41">
        <f>VLOOKUP(tbl_xbox[[#This Row],[Plan]],tbl_apoio5[#All],2,FALSE)</f>
        <v>2</v>
      </c>
      <c r="R247" s="41">
        <f>VLOOKUP(tbl_xbox[[#This Row],[EA Play Season Pass]],tbl_apoio5[[EA Play Season Pass]:[output2]],2,FALSE)</f>
        <v>3</v>
      </c>
      <c r="S247" s="41">
        <f>VLOOKUP(tbl_xbox[[#This Row],[Minecraft Season Pass]],tbl_apoio5[[Minecraft Season Pass]:[Minecraft Season Pass2]],2,FALSE)</f>
        <v>6</v>
      </c>
      <c r="T247" s="41">
        <f>SUM(tbl_xbox[[#This Row],[Plan2]:[Minecraft Season Pass2]])</f>
        <v>11</v>
      </c>
      <c r="U247" s="40" t="str">
        <f>VLOOKUP(tbl_xbox[[#This Row],[soma]],tbl_apoio5[[#All],[soma]:[output2]],2,FALSE)</f>
        <v>EA Play + Minecraft</v>
      </c>
      <c r="V247" s="7"/>
    </row>
    <row r="248" spans="1:22" ht="16.5" customHeight="1" x14ac:dyDescent="0.2">
      <c r="A248" s="4">
        <v>3477</v>
      </c>
      <c r="B248" s="4" t="s">
        <v>256</v>
      </c>
      <c r="C248" s="4" t="s">
        <v>18</v>
      </c>
      <c r="D248" s="6">
        <v>45594</v>
      </c>
      <c r="E248" s="4" t="s">
        <v>15</v>
      </c>
      <c r="F248" s="7">
        <v>10</v>
      </c>
      <c r="G248" s="4" t="s">
        <v>12</v>
      </c>
      <c r="H248" s="4" t="s">
        <v>15</v>
      </c>
      <c r="I248" s="7">
        <v>0</v>
      </c>
      <c r="J248" s="4" t="s">
        <v>11</v>
      </c>
      <c r="K248" s="7">
        <v>20</v>
      </c>
      <c r="L248" s="7">
        <v>10</v>
      </c>
      <c r="M248" s="7">
        <v>20</v>
      </c>
      <c r="N248" s="40" t="str">
        <f>IF(tbl_xbox[[#This Row],[Coupon Value]]=$L$3,"No","Yes")</f>
        <v>Yes</v>
      </c>
      <c r="O248" s="40" t="str">
        <f>IF(OR(tbl_xbox[[#This Row],[EA Play Season Pass]]="Yes",tbl_xbox[[#This Row],[Minecraft Season Pass]]="Yes"),"Yes","No")</f>
        <v>Yes</v>
      </c>
      <c r="P248" s="40">
        <f>tbl_xbox[[#This Row],[Subscription Price]]+tbl_xbox[[#This Row],[EA Play Season Pass
Price]]+tbl_xbox[[#This Row],[Minecraft Season Pass Price]]</f>
        <v>30</v>
      </c>
      <c r="Q248" s="41">
        <f>VLOOKUP(tbl_xbox[[#This Row],[Plan]],tbl_apoio5[#All],2,FALSE)</f>
        <v>1</v>
      </c>
      <c r="R248" s="41">
        <f>VLOOKUP(tbl_xbox[[#This Row],[EA Play Season Pass]],tbl_apoio5[[EA Play Season Pass]:[output2]],2,FALSE)</f>
        <v>0</v>
      </c>
      <c r="S248" s="41">
        <f>VLOOKUP(tbl_xbox[[#This Row],[Minecraft Season Pass]],tbl_apoio5[[Minecraft Season Pass]:[Minecraft Season Pass2]],2,FALSE)</f>
        <v>6</v>
      </c>
      <c r="T248" s="41">
        <f>SUM(tbl_xbox[[#This Row],[Plan2]:[Minecraft Season Pass2]])</f>
        <v>7</v>
      </c>
      <c r="U248" s="40" t="str">
        <f>VLOOKUP(tbl_xbox[[#This Row],[soma]],tbl_apoio5[[#All],[soma]:[output2]],2,FALSE)</f>
        <v>Minecraft</v>
      </c>
      <c r="V248" s="7"/>
    </row>
    <row r="249" spans="1:22" ht="16.5" customHeight="1" x14ac:dyDescent="0.2">
      <c r="A249" s="4">
        <v>3478</v>
      </c>
      <c r="B249" s="4" t="s">
        <v>257</v>
      </c>
      <c r="C249" s="4" t="s">
        <v>14</v>
      </c>
      <c r="D249" s="6">
        <v>45595</v>
      </c>
      <c r="E249" s="4" t="s">
        <v>11</v>
      </c>
      <c r="F249" s="7">
        <v>5</v>
      </c>
      <c r="G249" s="4" t="s">
        <v>16</v>
      </c>
      <c r="H249" s="4" t="s">
        <v>15</v>
      </c>
      <c r="I249" s="7">
        <v>0</v>
      </c>
      <c r="J249" s="4" t="s">
        <v>15</v>
      </c>
      <c r="K249" s="7">
        <v>0</v>
      </c>
      <c r="L249" s="7">
        <v>0</v>
      </c>
      <c r="M249" s="7">
        <v>5</v>
      </c>
      <c r="N249" s="40" t="str">
        <f>IF(tbl_xbox[[#This Row],[Coupon Value]]=$L$3,"No","Yes")</f>
        <v>No</v>
      </c>
      <c r="O249" s="40" t="str">
        <f>IF(OR(tbl_xbox[[#This Row],[EA Play Season Pass]]="Yes",tbl_xbox[[#This Row],[Minecraft Season Pass]]="Yes"),"Yes","No")</f>
        <v>No</v>
      </c>
      <c r="P249" s="40">
        <f>tbl_xbox[[#This Row],[Subscription Price]]+tbl_xbox[[#This Row],[EA Play Season Pass
Price]]+tbl_xbox[[#This Row],[Minecraft Season Pass Price]]</f>
        <v>5</v>
      </c>
      <c r="Q249" s="41">
        <f>VLOOKUP(tbl_xbox[[#This Row],[Plan]],tbl_apoio5[#All],2,FALSE)</f>
        <v>0</v>
      </c>
      <c r="R249" s="41">
        <f>VLOOKUP(tbl_xbox[[#This Row],[EA Play Season Pass]],tbl_apoio5[[EA Play Season Pass]:[output2]],2,FALSE)</f>
        <v>0</v>
      </c>
      <c r="S249" s="41">
        <f>VLOOKUP(tbl_xbox[[#This Row],[Minecraft Season Pass]],tbl_apoio5[[Minecraft Season Pass]:[Minecraft Season Pass2]],2,FALSE)</f>
        <v>0</v>
      </c>
      <c r="T249" s="41">
        <f>SUM(tbl_xbox[[#This Row],[Plan2]:[Minecraft Season Pass2]])</f>
        <v>0</v>
      </c>
      <c r="U249" s="40" t="str">
        <f>VLOOKUP(tbl_xbox[[#This Row],[soma]],tbl_apoio5[[#All],[soma]:[output2]],2,FALSE)</f>
        <v>No Extras</v>
      </c>
      <c r="V249" s="7"/>
    </row>
    <row r="250" spans="1:22" ht="16.5" customHeight="1" x14ac:dyDescent="0.2">
      <c r="A250" s="4">
        <v>3479</v>
      </c>
      <c r="B250" s="4" t="s">
        <v>258</v>
      </c>
      <c r="C250" s="4" t="s">
        <v>10</v>
      </c>
      <c r="D250" s="6">
        <v>45596</v>
      </c>
      <c r="E250" s="4" t="s">
        <v>15</v>
      </c>
      <c r="F250" s="7">
        <v>15</v>
      </c>
      <c r="G250" s="4" t="s">
        <v>12</v>
      </c>
      <c r="H250" s="4" t="s">
        <v>11</v>
      </c>
      <c r="I250" s="7">
        <v>30</v>
      </c>
      <c r="J250" s="4" t="s">
        <v>11</v>
      </c>
      <c r="K250" s="7">
        <v>20</v>
      </c>
      <c r="L250" s="7">
        <v>20</v>
      </c>
      <c r="M250" s="7">
        <v>45</v>
      </c>
      <c r="N250" s="40" t="str">
        <f>IF(tbl_xbox[[#This Row],[Coupon Value]]=$L$3,"No","Yes")</f>
        <v>Yes</v>
      </c>
      <c r="O250" s="40" t="str">
        <f>IF(OR(tbl_xbox[[#This Row],[EA Play Season Pass]]="Yes",tbl_xbox[[#This Row],[Minecraft Season Pass]]="Yes"),"Yes","No")</f>
        <v>Yes</v>
      </c>
      <c r="P250" s="40">
        <f>tbl_xbox[[#This Row],[Subscription Price]]+tbl_xbox[[#This Row],[EA Play Season Pass
Price]]+tbl_xbox[[#This Row],[Minecraft Season Pass Price]]</f>
        <v>65</v>
      </c>
      <c r="Q250" s="41">
        <f>VLOOKUP(tbl_xbox[[#This Row],[Plan]],tbl_apoio5[#All],2,FALSE)</f>
        <v>2</v>
      </c>
      <c r="R250" s="41">
        <f>VLOOKUP(tbl_xbox[[#This Row],[EA Play Season Pass]],tbl_apoio5[[EA Play Season Pass]:[output2]],2,FALSE)</f>
        <v>3</v>
      </c>
      <c r="S250" s="41">
        <f>VLOOKUP(tbl_xbox[[#This Row],[Minecraft Season Pass]],tbl_apoio5[[Minecraft Season Pass]:[Minecraft Season Pass2]],2,FALSE)</f>
        <v>6</v>
      </c>
      <c r="T250" s="41">
        <f>SUM(tbl_xbox[[#This Row],[Plan2]:[Minecraft Season Pass2]])</f>
        <v>11</v>
      </c>
      <c r="U250" s="40" t="str">
        <f>VLOOKUP(tbl_xbox[[#This Row],[soma]],tbl_apoio5[[#All],[soma]:[output2]],2,FALSE)</f>
        <v>EA Play + Minecraft</v>
      </c>
      <c r="V250" s="7"/>
    </row>
    <row r="251" spans="1:22" ht="16.5" customHeight="1" x14ac:dyDescent="0.2">
      <c r="A251" s="4">
        <v>3480</v>
      </c>
      <c r="B251" s="4" t="s">
        <v>259</v>
      </c>
      <c r="C251" s="4" t="s">
        <v>18</v>
      </c>
      <c r="D251" s="6">
        <v>45597</v>
      </c>
      <c r="E251" s="4" t="s">
        <v>11</v>
      </c>
      <c r="F251" s="7">
        <v>10</v>
      </c>
      <c r="G251" s="4" t="s">
        <v>19</v>
      </c>
      <c r="H251" s="4" t="s">
        <v>15</v>
      </c>
      <c r="I251" s="7">
        <v>0</v>
      </c>
      <c r="J251" s="4" t="s">
        <v>11</v>
      </c>
      <c r="K251" s="7">
        <v>20</v>
      </c>
      <c r="L251" s="7">
        <v>15</v>
      </c>
      <c r="M251" s="7">
        <v>15</v>
      </c>
      <c r="N251" s="40" t="str">
        <f>IF(tbl_xbox[[#This Row],[Coupon Value]]=$L$3,"No","Yes")</f>
        <v>Yes</v>
      </c>
      <c r="O251" s="40" t="str">
        <f>IF(OR(tbl_xbox[[#This Row],[EA Play Season Pass]]="Yes",tbl_xbox[[#This Row],[Minecraft Season Pass]]="Yes"),"Yes","No")</f>
        <v>Yes</v>
      </c>
      <c r="P251" s="40">
        <f>tbl_xbox[[#This Row],[Subscription Price]]+tbl_xbox[[#This Row],[EA Play Season Pass
Price]]+tbl_xbox[[#This Row],[Minecraft Season Pass Price]]</f>
        <v>30</v>
      </c>
      <c r="Q251" s="41">
        <f>VLOOKUP(tbl_xbox[[#This Row],[Plan]],tbl_apoio5[#All],2,FALSE)</f>
        <v>1</v>
      </c>
      <c r="R251" s="41">
        <f>VLOOKUP(tbl_xbox[[#This Row],[EA Play Season Pass]],tbl_apoio5[[EA Play Season Pass]:[output2]],2,FALSE)</f>
        <v>0</v>
      </c>
      <c r="S251" s="41">
        <f>VLOOKUP(tbl_xbox[[#This Row],[Minecraft Season Pass]],tbl_apoio5[[Minecraft Season Pass]:[Minecraft Season Pass2]],2,FALSE)</f>
        <v>6</v>
      </c>
      <c r="T251" s="41">
        <f>SUM(tbl_xbox[[#This Row],[Plan2]:[Minecraft Season Pass2]])</f>
        <v>7</v>
      </c>
      <c r="U251" s="40" t="str">
        <f>VLOOKUP(tbl_xbox[[#This Row],[soma]],tbl_apoio5[[#All],[soma]:[output2]],2,FALSE)</f>
        <v>Minecraft</v>
      </c>
      <c r="V251" s="7"/>
    </row>
    <row r="252" spans="1:22" ht="16.5" customHeight="1" x14ac:dyDescent="0.2">
      <c r="A252" s="4">
        <v>3481</v>
      </c>
      <c r="B252" s="4" t="s">
        <v>260</v>
      </c>
      <c r="C252" s="4" t="s">
        <v>14</v>
      </c>
      <c r="D252" s="6">
        <v>45598</v>
      </c>
      <c r="E252" s="4" t="s">
        <v>15</v>
      </c>
      <c r="F252" s="7">
        <v>5</v>
      </c>
      <c r="G252" s="4" t="s">
        <v>12</v>
      </c>
      <c r="H252" s="4" t="s">
        <v>15</v>
      </c>
      <c r="I252" s="7">
        <v>0</v>
      </c>
      <c r="J252" s="4" t="s">
        <v>15</v>
      </c>
      <c r="K252" s="7">
        <v>0</v>
      </c>
      <c r="L252" s="7">
        <v>1</v>
      </c>
      <c r="M252" s="7">
        <v>4</v>
      </c>
      <c r="N252" s="40" t="str">
        <f>IF(tbl_xbox[[#This Row],[Coupon Value]]=$L$3,"No","Yes")</f>
        <v>Yes</v>
      </c>
      <c r="O252" s="40" t="str">
        <f>IF(OR(tbl_xbox[[#This Row],[EA Play Season Pass]]="Yes",tbl_xbox[[#This Row],[Minecraft Season Pass]]="Yes"),"Yes","No")</f>
        <v>No</v>
      </c>
      <c r="P252" s="40">
        <f>tbl_xbox[[#This Row],[Subscription Price]]+tbl_xbox[[#This Row],[EA Play Season Pass
Price]]+tbl_xbox[[#This Row],[Minecraft Season Pass Price]]</f>
        <v>5</v>
      </c>
      <c r="Q252" s="41">
        <f>VLOOKUP(tbl_xbox[[#This Row],[Plan]],tbl_apoio5[#All],2,FALSE)</f>
        <v>0</v>
      </c>
      <c r="R252" s="41">
        <f>VLOOKUP(tbl_xbox[[#This Row],[EA Play Season Pass]],tbl_apoio5[[EA Play Season Pass]:[output2]],2,FALSE)</f>
        <v>0</v>
      </c>
      <c r="S252" s="41">
        <f>VLOOKUP(tbl_xbox[[#This Row],[Minecraft Season Pass]],tbl_apoio5[[Minecraft Season Pass]:[Minecraft Season Pass2]],2,FALSE)</f>
        <v>0</v>
      </c>
      <c r="T252" s="41">
        <f>SUM(tbl_xbox[[#This Row],[Plan2]:[Minecraft Season Pass2]])</f>
        <v>0</v>
      </c>
      <c r="U252" s="40" t="str">
        <f>VLOOKUP(tbl_xbox[[#This Row],[soma]],tbl_apoio5[[#All],[soma]:[output2]],2,FALSE)</f>
        <v>No Extras</v>
      </c>
      <c r="V252" s="7"/>
    </row>
    <row r="253" spans="1:22" ht="16.5" customHeight="1" x14ac:dyDescent="0.2">
      <c r="A253" s="4">
        <v>3482</v>
      </c>
      <c r="B253" s="4" t="s">
        <v>261</v>
      </c>
      <c r="C253" s="4" t="s">
        <v>10</v>
      </c>
      <c r="D253" s="6">
        <v>45599</v>
      </c>
      <c r="E253" s="4" t="s">
        <v>11</v>
      </c>
      <c r="F253" s="7">
        <v>15</v>
      </c>
      <c r="G253" s="4" t="s">
        <v>16</v>
      </c>
      <c r="H253" s="4" t="s">
        <v>11</v>
      </c>
      <c r="I253" s="7">
        <v>30</v>
      </c>
      <c r="J253" s="4" t="s">
        <v>11</v>
      </c>
      <c r="K253" s="7">
        <v>20</v>
      </c>
      <c r="L253" s="7">
        <v>3</v>
      </c>
      <c r="M253" s="7">
        <v>62</v>
      </c>
      <c r="N253" s="40" t="str">
        <f>IF(tbl_xbox[[#This Row],[Coupon Value]]=$L$3,"No","Yes")</f>
        <v>Yes</v>
      </c>
      <c r="O253" s="40" t="str">
        <f>IF(OR(tbl_xbox[[#This Row],[EA Play Season Pass]]="Yes",tbl_xbox[[#This Row],[Minecraft Season Pass]]="Yes"),"Yes","No")</f>
        <v>Yes</v>
      </c>
      <c r="P253" s="40">
        <f>tbl_xbox[[#This Row],[Subscription Price]]+tbl_xbox[[#This Row],[EA Play Season Pass
Price]]+tbl_xbox[[#This Row],[Minecraft Season Pass Price]]</f>
        <v>65</v>
      </c>
      <c r="Q253" s="41">
        <f>VLOOKUP(tbl_xbox[[#This Row],[Plan]],tbl_apoio5[#All],2,FALSE)</f>
        <v>2</v>
      </c>
      <c r="R253" s="41">
        <f>VLOOKUP(tbl_xbox[[#This Row],[EA Play Season Pass]],tbl_apoio5[[EA Play Season Pass]:[output2]],2,FALSE)</f>
        <v>3</v>
      </c>
      <c r="S253" s="41">
        <f>VLOOKUP(tbl_xbox[[#This Row],[Minecraft Season Pass]],tbl_apoio5[[Minecraft Season Pass]:[Minecraft Season Pass2]],2,FALSE)</f>
        <v>6</v>
      </c>
      <c r="T253" s="41">
        <f>SUM(tbl_xbox[[#This Row],[Plan2]:[Minecraft Season Pass2]])</f>
        <v>11</v>
      </c>
      <c r="U253" s="40" t="str">
        <f>VLOOKUP(tbl_xbox[[#This Row],[soma]],tbl_apoio5[[#All],[soma]:[output2]],2,FALSE)</f>
        <v>EA Play + Minecraft</v>
      </c>
      <c r="V253" s="7"/>
    </row>
    <row r="254" spans="1:22" ht="16.5" customHeight="1" x14ac:dyDescent="0.2">
      <c r="A254" s="4">
        <v>3483</v>
      </c>
      <c r="B254" s="4" t="s">
        <v>262</v>
      </c>
      <c r="C254" s="4" t="s">
        <v>18</v>
      </c>
      <c r="D254" s="6">
        <v>45600</v>
      </c>
      <c r="E254" s="4" t="s">
        <v>15</v>
      </c>
      <c r="F254" s="7">
        <v>10</v>
      </c>
      <c r="G254" s="4" t="s">
        <v>12</v>
      </c>
      <c r="H254" s="4" t="s">
        <v>15</v>
      </c>
      <c r="I254" s="7">
        <v>0</v>
      </c>
      <c r="J254" s="4" t="s">
        <v>11</v>
      </c>
      <c r="K254" s="7">
        <v>20</v>
      </c>
      <c r="L254" s="7">
        <v>10</v>
      </c>
      <c r="M254" s="7">
        <v>20</v>
      </c>
      <c r="N254" s="40" t="str">
        <f>IF(tbl_xbox[[#This Row],[Coupon Value]]=$L$3,"No","Yes")</f>
        <v>Yes</v>
      </c>
      <c r="O254" s="40" t="str">
        <f>IF(OR(tbl_xbox[[#This Row],[EA Play Season Pass]]="Yes",tbl_xbox[[#This Row],[Minecraft Season Pass]]="Yes"),"Yes","No")</f>
        <v>Yes</v>
      </c>
      <c r="P254" s="40">
        <f>tbl_xbox[[#This Row],[Subscription Price]]+tbl_xbox[[#This Row],[EA Play Season Pass
Price]]+tbl_xbox[[#This Row],[Minecraft Season Pass Price]]</f>
        <v>30</v>
      </c>
      <c r="Q254" s="41">
        <f>VLOOKUP(tbl_xbox[[#This Row],[Plan]],tbl_apoio5[#All],2,FALSE)</f>
        <v>1</v>
      </c>
      <c r="R254" s="41">
        <f>VLOOKUP(tbl_xbox[[#This Row],[EA Play Season Pass]],tbl_apoio5[[EA Play Season Pass]:[output2]],2,FALSE)</f>
        <v>0</v>
      </c>
      <c r="S254" s="41">
        <f>VLOOKUP(tbl_xbox[[#This Row],[Minecraft Season Pass]],tbl_apoio5[[Minecraft Season Pass]:[Minecraft Season Pass2]],2,FALSE)</f>
        <v>6</v>
      </c>
      <c r="T254" s="41">
        <f>SUM(tbl_xbox[[#This Row],[Plan2]:[Minecraft Season Pass2]])</f>
        <v>7</v>
      </c>
      <c r="U254" s="40" t="str">
        <f>VLOOKUP(tbl_xbox[[#This Row],[soma]],tbl_apoio5[[#All],[soma]:[output2]],2,FALSE)</f>
        <v>Minecraft</v>
      </c>
      <c r="V254" s="7"/>
    </row>
    <row r="255" spans="1:22" ht="16.5" customHeight="1" x14ac:dyDescent="0.2">
      <c r="A255" s="4">
        <v>3484</v>
      </c>
      <c r="B255" s="4" t="s">
        <v>263</v>
      </c>
      <c r="C255" s="4" t="s">
        <v>14</v>
      </c>
      <c r="D255" s="6">
        <v>45601</v>
      </c>
      <c r="E255" s="4" t="s">
        <v>11</v>
      </c>
      <c r="F255" s="7">
        <v>5</v>
      </c>
      <c r="G255" s="4" t="s">
        <v>19</v>
      </c>
      <c r="H255" s="4" t="s">
        <v>15</v>
      </c>
      <c r="I255" s="7">
        <v>0</v>
      </c>
      <c r="J255" s="4" t="s">
        <v>15</v>
      </c>
      <c r="K255" s="7">
        <v>0</v>
      </c>
      <c r="L255" s="7">
        <v>0</v>
      </c>
      <c r="M255" s="7">
        <v>5</v>
      </c>
      <c r="N255" s="40" t="str">
        <f>IF(tbl_xbox[[#This Row],[Coupon Value]]=$L$3,"No","Yes")</f>
        <v>No</v>
      </c>
      <c r="O255" s="40" t="str">
        <f>IF(OR(tbl_xbox[[#This Row],[EA Play Season Pass]]="Yes",tbl_xbox[[#This Row],[Minecraft Season Pass]]="Yes"),"Yes","No")</f>
        <v>No</v>
      </c>
      <c r="P255" s="40">
        <f>tbl_xbox[[#This Row],[Subscription Price]]+tbl_xbox[[#This Row],[EA Play Season Pass
Price]]+tbl_xbox[[#This Row],[Minecraft Season Pass Price]]</f>
        <v>5</v>
      </c>
      <c r="Q255" s="41">
        <f>VLOOKUP(tbl_xbox[[#This Row],[Plan]],tbl_apoio5[#All],2,FALSE)</f>
        <v>0</v>
      </c>
      <c r="R255" s="41">
        <f>VLOOKUP(tbl_xbox[[#This Row],[EA Play Season Pass]],tbl_apoio5[[EA Play Season Pass]:[output2]],2,FALSE)</f>
        <v>0</v>
      </c>
      <c r="S255" s="41">
        <f>VLOOKUP(tbl_xbox[[#This Row],[Minecraft Season Pass]],tbl_apoio5[[Minecraft Season Pass]:[Minecraft Season Pass2]],2,FALSE)</f>
        <v>0</v>
      </c>
      <c r="T255" s="41">
        <f>SUM(tbl_xbox[[#This Row],[Plan2]:[Minecraft Season Pass2]])</f>
        <v>0</v>
      </c>
      <c r="U255" s="40" t="str">
        <f>VLOOKUP(tbl_xbox[[#This Row],[soma]],tbl_apoio5[[#All],[soma]:[output2]],2,FALSE)</f>
        <v>No Extras</v>
      </c>
      <c r="V255" s="7"/>
    </row>
    <row r="256" spans="1:22" ht="16.5" customHeight="1" x14ac:dyDescent="0.2">
      <c r="A256" s="4">
        <v>3485</v>
      </c>
      <c r="B256" s="4" t="s">
        <v>264</v>
      </c>
      <c r="C256" s="4" t="s">
        <v>10</v>
      </c>
      <c r="D256" s="6">
        <v>45602</v>
      </c>
      <c r="E256" s="4" t="s">
        <v>15</v>
      </c>
      <c r="F256" s="7">
        <v>15</v>
      </c>
      <c r="G256" s="4" t="s">
        <v>12</v>
      </c>
      <c r="H256" s="4" t="s">
        <v>11</v>
      </c>
      <c r="I256" s="7">
        <v>30</v>
      </c>
      <c r="J256" s="4" t="s">
        <v>11</v>
      </c>
      <c r="K256" s="7">
        <v>20</v>
      </c>
      <c r="L256" s="7">
        <v>15</v>
      </c>
      <c r="M256" s="7">
        <v>50</v>
      </c>
      <c r="N256" s="40" t="str">
        <f>IF(tbl_xbox[[#This Row],[Coupon Value]]=$L$3,"No","Yes")</f>
        <v>Yes</v>
      </c>
      <c r="O256" s="40" t="str">
        <f>IF(OR(tbl_xbox[[#This Row],[EA Play Season Pass]]="Yes",tbl_xbox[[#This Row],[Minecraft Season Pass]]="Yes"),"Yes","No")</f>
        <v>Yes</v>
      </c>
      <c r="P256" s="40">
        <f>tbl_xbox[[#This Row],[Subscription Price]]+tbl_xbox[[#This Row],[EA Play Season Pass
Price]]+tbl_xbox[[#This Row],[Minecraft Season Pass Price]]</f>
        <v>65</v>
      </c>
      <c r="Q256" s="41">
        <f>VLOOKUP(tbl_xbox[[#This Row],[Plan]],tbl_apoio5[#All],2,FALSE)</f>
        <v>2</v>
      </c>
      <c r="R256" s="41">
        <f>VLOOKUP(tbl_xbox[[#This Row],[EA Play Season Pass]],tbl_apoio5[[EA Play Season Pass]:[output2]],2,FALSE)</f>
        <v>3</v>
      </c>
      <c r="S256" s="41">
        <f>VLOOKUP(tbl_xbox[[#This Row],[Minecraft Season Pass]],tbl_apoio5[[Minecraft Season Pass]:[Minecraft Season Pass2]],2,FALSE)</f>
        <v>6</v>
      </c>
      <c r="T256" s="41">
        <f>SUM(tbl_xbox[[#This Row],[Plan2]:[Minecraft Season Pass2]])</f>
        <v>11</v>
      </c>
      <c r="U256" s="40" t="str">
        <f>VLOOKUP(tbl_xbox[[#This Row],[soma]],tbl_apoio5[[#All],[soma]:[output2]],2,FALSE)</f>
        <v>EA Play + Minecraft</v>
      </c>
      <c r="V256" s="7"/>
    </row>
    <row r="257" spans="1:22" ht="16.5" customHeight="1" x14ac:dyDescent="0.2">
      <c r="A257" s="4">
        <v>3486</v>
      </c>
      <c r="B257" s="4" t="s">
        <v>265</v>
      </c>
      <c r="C257" s="4" t="s">
        <v>14</v>
      </c>
      <c r="D257" s="6">
        <v>45603</v>
      </c>
      <c r="E257" s="4" t="s">
        <v>11</v>
      </c>
      <c r="F257" s="7">
        <v>5</v>
      </c>
      <c r="G257" s="4" t="s">
        <v>12</v>
      </c>
      <c r="H257" s="4" t="s">
        <v>15</v>
      </c>
      <c r="I257" s="7">
        <v>0</v>
      </c>
      <c r="J257" s="4" t="s">
        <v>15</v>
      </c>
      <c r="K257" s="7">
        <v>0</v>
      </c>
      <c r="L257" s="7">
        <v>0</v>
      </c>
      <c r="M257" s="7">
        <v>5</v>
      </c>
      <c r="N257" s="40" t="str">
        <f>IF(tbl_xbox[[#This Row],[Coupon Value]]=$L$3,"No","Yes")</f>
        <v>No</v>
      </c>
      <c r="O257" s="40" t="str">
        <f>IF(OR(tbl_xbox[[#This Row],[EA Play Season Pass]]="Yes",tbl_xbox[[#This Row],[Minecraft Season Pass]]="Yes"),"Yes","No")</f>
        <v>No</v>
      </c>
      <c r="P257" s="40">
        <f>tbl_xbox[[#This Row],[Subscription Price]]+tbl_xbox[[#This Row],[EA Play Season Pass
Price]]+tbl_xbox[[#This Row],[Minecraft Season Pass Price]]</f>
        <v>5</v>
      </c>
      <c r="Q257" s="41">
        <f>VLOOKUP(tbl_xbox[[#This Row],[Plan]],tbl_apoio5[#All],2,FALSE)</f>
        <v>0</v>
      </c>
      <c r="R257" s="41">
        <f>VLOOKUP(tbl_xbox[[#This Row],[EA Play Season Pass]],tbl_apoio5[[EA Play Season Pass]:[output2]],2,FALSE)</f>
        <v>0</v>
      </c>
      <c r="S257" s="41">
        <f>VLOOKUP(tbl_xbox[[#This Row],[Minecraft Season Pass]],tbl_apoio5[[Minecraft Season Pass]:[Minecraft Season Pass2]],2,FALSE)</f>
        <v>0</v>
      </c>
      <c r="T257" s="41">
        <f>SUM(tbl_xbox[[#This Row],[Plan2]:[Minecraft Season Pass2]])</f>
        <v>0</v>
      </c>
      <c r="U257" s="40" t="str">
        <f>VLOOKUP(tbl_xbox[[#This Row],[soma]],tbl_apoio5[[#All],[soma]:[output2]],2,FALSE)</f>
        <v>No Extras</v>
      </c>
      <c r="V257" s="7"/>
    </row>
    <row r="258" spans="1:22" ht="16.5" customHeight="1" x14ac:dyDescent="0.2">
      <c r="A258" s="4">
        <v>3487</v>
      </c>
      <c r="B258" s="4" t="s">
        <v>266</v>
      </c>
      <c r="C258" s="4" t="s">
        <v>10</v>
      </c>
      <c r="D258" s="6">
        <v>45604</v>
      </c>
      <c r="E258" s="4" t="s">
        <v>15</v>
      </c>
      <c r="F258" s="7">
        <v>15</v>
      </c>
      <c r="G258" s="4" t="s">
        <v>19</v>
      </c>
      <c r="H258" s="4" t="s">
        <v>11</v>
      </c>
      <c r="I258" s="7">
        <v>30</v>
      </c>
      <c r="J258" s="4" t="s">
        <v>11</v>
      </c>
      <c r="K258" s="7">
        <v>20</v>
      </c>
      <c r="L258" s="7">
        <v>7</v>
      </c>
      <c r="M258" s="7">
        <v>58</v>
      </c>
      <c r="N258" s="40" t="str">
        <f>IF(tbl_xbox[[#This Row],[Coupon Value]]=$L$3,"No","Yes")</f>
        <v>Yes</v>
      </c>
      <c r="O258" s="40" t="str">
        <f>IF(OR(tbl_xbox[[#This Row],[EA Play Season Pass]]="Yes",tbl_xbox[[#This Row],[Minecraft Season Pass]]="Yes"),"Yes","No")</f>
        <v>Yes</v>
      </c>
      <c r="P258" s="40">
        <f>tbl_xbox[[#This Row],[Subscription Price]]+tbl_xbox[[#This Row],[EA Play Season Pass
Price]]+tbl_xbox[[#This Row],[Minecraft Season Pass Price]]</f>
        <v>65</v>
      </c>
      <c r="Q258" s="41">
        <f>VLOOKUP(tbl_xbox[[#This Row],[Plan]],tbl_apoio5[#All],2,FALSE)</f>
        <v>2</v>
      </c>
      <c r="R258" s="41">
        <f>VLOOKUP(tbl_xbox[[#This Row],[EA Play Season Pass]],tbl_apoio5[[EA Play Season Pass]:[output2]],2,FALSE)</f>
        <v>3</v>
      </c>
      <c r="S258" s="41">
        <f>VLOOKUP(tbl_xbox[[#This Row],[Minecraft Season Pass]],tbl_apoio5[[Minecraft Season Pass]:[Minecraft Season Pass2]],2,FALSE)</f>
        <v>6</v>
      </c>
      <c r="T258" s="41">
        <f>SUM(tbl_xbox[[#This Row],[Plan2]:[Minecraft Season Pass2]])</f>
        <v>11</v>
      </c>
      <c r="U258" s="40" t="str">
        <f>VLOOKUP(tbl_xbox[[#This Row],[soma]],tbl_apoio5[[#All],[soma]:[output2]],2,FALSE)</f>
        <v>EA Play + Minecraft</v>
      </c>
      <c r="V258" s="7"/>
    </row>
    <row r="259" spans="1:22" ht="16.5" customHeight="1" x14ac:dyDescent="0.2">
      <c r="A259" s="4">
        <v>3488</v>
      </c>
      <c r="B259" s="4" t="s">
        <v>267</v>
      </c>
      <c r="C259" s="4" t="s">
        <v>18</v>
      </c>
      <c r="D259" s="6">
        <v>45605</v>
      </c>
      <c r="E259" s="4" t="s">
        <v>11</v>
      </c>
      <c r="F259" s="7">
        <v>10</v>
      </c>
      <c r="G259" s="4" t="s">
        <v>16</v>
      </c>
      <c r="H259" s="4" t="s">
        <v>15</v>
      </c>
      <c r="I259" s="7">
        <v>0</v>
      </c>
      <c r="J259" s="4" t="s">
        <v>11</v>
      </c>
      <c r="K259" s="7">
        <v>20</v>
      </c>
      <c r="L259" s="7">
        <v>10</v>
      </c>
      <c r="M259" s="7">
        <v>20</v>
      </c>
      <c r="N259" s="40" t="str">
        <f>IF(tbl_xbox[[#This Row],[Coupon Value]]=$L$3,"No","Yes")</f>
        <v>Yes</v>
      </c>
      <c r="O259" s="40" t="str">
        <f>IF(OR(tbl_xbox[[#This Row],[EA Play Season Pass]]="Yes",tbl_xbox[[#This Row],[Minecraft Season Pass]]="Yes"),"Yes","No")</f>
        <v>Yes</v>
      </c>
      <c r="P259" s="40">
        <f>tbl_xbox[[#This Row],[Subscription Price]]+tbl_xbox[[#This Row],[EA Play Season Pass
Price]]+tbl_xbox[[#This Row],[Minecraft Season Pass Price]]</f>
        <v>30</v>
      </c>
      <c r="Q259" s="41">
        <f>VLOOKUP(tbl_xbox[[#This Row],[Plan]],tbl_apoio5[#All],2,FALSE)</f>
        <v>1</v>
      </c>
      <c r="R259" s="41">
        <f>VLOOKUP(tbl_xbox[[#This Row],[EA Play Season Pass]],tbl_apoio5[[EA Play Season Pass]:[output2]],2,FALSE)</f>
        <v>0</v>
      </c>
      <c r="S259" s="41">
        <f>VLOOKUP(tbl_xbox[[#This Row],[Minecraft Season Pass]],tbl_apoio5[[Minecraft Season Pass]:[Minecraft Season Pass2]],2,FALSE)</f>
        <v>6</v>
      </c>
      <c r="T259" s="41">
        <f>SUM(tbl_xbox[[#This Row],[Plan2]:[Minecraft Season Pass2]])</f>
        <v>7</v>
      </c>
      <c r="U259" s="40" t="str">
        <f>VLOOKUP(tbl_xbox[[#This Row],[soma]],tbl_apoio5[[#All],[soma]:[output2]],2,FALSE)</f>
        <v>Minecraft</v>
      </c>
      <c r="V259" s="7"/>
    </row>
    <row r="260" spans="1:22" ht="16.5" customHeight="1" x14ac:dyDescent="0.2">
      <c r="A260" s="4">
        <v>3489</v>
      </c>
      <c r="B260" s="4" t="s">
        <v>268</v>
      </c>
      <c r="C260" s="4" t="s">
        <v>14</v>
      </c>
      <c r="D260" s="6">
        <v>45606</v>
      </c>
      <c r="E260" s="4" t="s">
        <v>15</v>
      </c>
      <c r="F260" s="7">
        <v>5</v>
      </c>
      <c r="G260" s="4" t="s">
        <v>19</v>
      </c>
      <c r="H260" s="4" t="s">
        <v>15</v>
      </c>
      <c r="I260" s="7">
        <v>0</v>
      </c>
      <c r="J260" s="4" t="s">
        <v>15</v>
      </c>
      <c r="K260" s="7">
        <v>0</v>
      </c>
      <c r="L260" s="7">
        <v>1</v>
      </c>
      <c r="M260" s="7">
        <v>4</v>
      </c>
      <c r="N260" s="40" t="str">
        <f>IF(tbl_xbox[[#This Row],[Coupon Value]]=$L$3,"No","Yes")</f>
        <v>Yes</v>
      </c>
      <c r="O260" s="40" t="str">
        <f>IF(OR(tbl_xbox[[#This Row],[EA Play Season Pass]]="Yes",tbl_xbox[[#This Row],[Minecraft Season Pass]]="Yes"),"Yes","No")</f>
        <v>No</v>
      </c>
      <c r="P260" s="40">
        <f>tbl_xbox[[#This Row],[Subscription Price]]+tbl_xbox[[#This Row],[EA Play Season Pass
Price]]+tbl_xbox[[#This Row],[Minecraft Season Pass Price]]</f>
        <v>5</v>
      </c>
      <c r="Q260" s="41">
        <f>VLOOKUP(tbl_xbox[[#This Row],[Plan]],tbl_apoio5[#All],2,FALSE)</f>
        <v>0</v>
      </c>
      <c r="R260" s="41">
        <f>VLOOKUP(tbl_xbox[[#This Row],[EA Play Season Pass]],tbl_apoio5[[EA Play Season Pass]:[output2]],2,FALSE)</f>
        <v>0</v>
      </c>
      <c r="S260" s="41">
        <f>VLOOKUP(tbl_xbox[[#This Row],[Minecraft Season Pass]],tbl_apoio5[[Minecraft Season Pass]:[Minecraft Season Pass2]],2,FALSE)</f>
        <v>0</v>
      </c>
      <c r="T260" s="41">
        <f>SUM(tbl_xbox[[#This Row],[Plan2]:[Minecraft Season Pass2]])</f>
        <v>0</v>
      </c>
      <c r="U260" s="40" t="str">
        <f>VLOOKUP(tbl_xbox[[#This Row],[soma]],tbl_apoio5[[#All],[soma]:[output2]],2,FALSE)</f>
        <v>No Extras</v>
      </c>
      <c r="V260" s="7"/>
    </row>
    <row r="261" spans="1:22" ht="16.5" customHeight="1" x14ac:dyDescent="0.2">
      <c r="A261" s="4">
        <v>3490</v>
      </c>
      <c r="B261" s="4" t="s">
        <v>269</v>
      </c>
      <c r="C261" s="4" t="s">
        <v>10</v>
      </c>
      <c r="D261" s="6">
        <v>45607</v>
      </c>
      <c r="E261" s="4" t="s">
        <v>11</v>
      </c>
      <c r="F261" s="7">
        <v>15</v>
      </c>
      <c r="G261" s="4" t="s">
        <v>12</v>
      </c>
      <c r="H261" s="4" t="s">
        <v>11</v>
      </c>
      <c r="I261" s="7">
        <v>30</v>
      </c>
      <c r="J261" s="4" t="s">
        <v>11</v>
      </c>
      <c r="K261" s="7">
        <v>20</v>
      </c>
      <c r="L261" s="7">
        <v>15</v>
      </c>
      <c r="M261" s="7">
        <v>50</v>
      </c>
      <c r="N261" s="40" t="str">
        <f>IF(tbl_xbox[[#This Row],[Coupon Value]]=$L$3,"No","Yes")</f>
        <v>Yes</v>
      </c>
      <c r="O261" s="40" t="str">
        <f>IF(OR(tbl_xbox[[#This Row],[EA Play Season Pass]]="Yes",tbl_xbox[[#This Row],[Minecraft Season Pass]]="Yes"),"Yes","No")</f>
        <v>Yes</v>
      </c>
      <c r="P261" s="40">
        <f>tbl_xbox[[#This Row],[Subscription Price]]+tbl_xbox[[#This Row],[EA Play Season Pass
Price]]+tbl_xbox[[#This Row],[Minecraft Season Pass Price]]</f>
        <v>65</v>
      </c>
      <c r="Q261" s="41">
        <f>VLOOKUP(tbl_xbox[[#This Row],[Plan]],tbl_apoio5[#All],2,FALSE)</f>
        <v>2</v>
      </c>
      <c r="R261" s="41">
        <f>VLOOKUP(tbl_xbox[[#This Row],[EA Play Season Pass]],tbl_apoio5[[EA Play Season Pass]:[output2]],2,FALSE)</f>
        <v>3</v>
      </c>
      <c r="S261" s="41">
        <f>VLOOKUP(tbl_xbox[[#This Row],[Minecraft Season Pass]],tbl_apoio5[[Minecraft Season Pass]:[Minecraft Season Pass2]],2,FALSE)</f>
        <v>6</v>
      </c>
      <c r="T261" s="41">
        <f>SUM(tbl_xbox[[#This Row],[Plan2]:[Minecraft Season Pass2]])</f>
        <v>11</v>
      </c>
      <c r="U261" s="40" t="str">
        <f>VLOOKUP(tbl_xbox[[#This Row],[soma]],tbl_apoio5[[#All],[soma]:[output2]],2,FALSE)</f>
        <v>EA Play + Minecraft</v>
      </c>
      <c r="V261" s="7"/>
    </row>
    <row r="262" spans="1:22" ht="16.5" customHeight="1" x14ac:dyDescent="0.2">
      <c r="A262" s="4">
        <v>3491</v>
      </c>
      <c r="B262" s="4" t="s">
        <v>270</v>
      </c>
      <c r="C262" s="4" t="s">
        <v>18</v>
      </c>
      <c r="D262" s="6">
        <v>45608</v>
      </c>
      <c r="E262" s="4" t="s">
        <v>15</v>
      </c>
      <c r="F262" s="7">
        <v>10</v>
      </c>
      <c r="G262" s="4" t="s">
        <v>12</v>
      </c>
      <c r="H262" s="4" t="s">
        <v>15</v>
      </c>
      <c r="I262" s="7">
        <v>0</v>
      </c>
      <c r="J262" s="4" t="s">
        <v>11</v>
      </c>
      <c r="K262" s="7">
        <v>20</v>
      </c>
      <c r="L262" s="7">
        <v>5</v>
      </c>
      <c r="M262" s="7">
        <v>25</v>
      </c>
      <c r="N262" s="40" t="str">
        <f>IF(tbl_xbox[[#This Row],[Coupon Value]]=$L$3,"No","Yes")</f>
        <v>Yes</v>
      </c>
      <c r="O262" s="40" t="str">
        <f>IF(OR(tbl_xbox[[#This Row],[EA Play Season Pass]]="Yes",tbl_xbox[[#This Row],[Minecraft Season Pass]]="Yes"),"Yes","No")</f>
        <v>Yes</v>
      </c>
      <c r="P262" s="40">
        <f>tbl_xbox[[#This Row],[Subscription Price]]+tbl_xbox[[#This Row],[EA Play Season Pass
Price]]+tbl_xbox[[#This Row],[Minecraft Season Pass Price]]</f>
        <v>30</v>
      </c>
      <c r="Q262" s="41">
        <f>VLOOKUP(tbl_xbox[[#This Row],[Plan]],tbl_apoio5[#All],2,FALSE)</f>
        <v>1</v>
      </c>
      <c r="R262" s="41">
        <f>VLOOKUP(tbl_xbox[[#This Row],[EA Play Season Pass]],tbl_apoio5[[EA Play Season Pass]:[output2]],2,FALSE)</f>
        <v>0</v>
      </c>
      <c r="S262" s="41">
        <f>VLOOKUP(tbl_xbox[[#This Row],[Minecraft Season Pass]],tbl_apoio5[[Minecraft Season Pass]:[Minecraft Season Pass2]],2,FALSE)</f>
        <v>6</v>
      </c>
      <c r="T262" s="41">
        <f>SUM(tbl_xbox[[#This Row],[Plan2]:[Minecraft Season Pass2]])</f>
        <v>7</v>
      </c>
      <c r="U262" s="40" t="str">
        <f>VLOOKUP(tbl_xbox[[#This Row],[soma]],tbl_apoio5[[#All],[soma]:[output2]],2,FALSE)</f>
        <v>Minecraft</v>
      </c>
      <c r="V262" s="7"/>
    </row>
    <row r="263" spans="1:22" ht="16.5" customHeight="1" x14ac:dyDescent="0.2">
      <c r="A263" s="4">
        <v>3492</v>
      </c>
      <c r="B263" s="4" t="s">
        <v>271</v>
      </c>
      <c r="C263" s="4" t="s">
        <v>14</v>
      </c>
      <c r="D263" s="6">
        <v>45609</v>
      </c>
      <c r="E263" s="4" t="s">
        <v>11</v>
      </c>
      <c r="F263" s="7">
        <v>5</v>
      </c>
      <c r="G263" s="4" t="s">
        <v>16</v>
      </c>
      <c r="H263" s="4" t="s">
        <v>15</v>
      </c>
      <c r="I263" s="7">
        <v>0</v>
      </c>
      <c r="J263" s="4" t="s">
        <v>15</v>
      </c>
      <c r="K263" s="7">
        <v>0</v>
      </c>
      <c r="L263" s="7">
        <v>0</v>
      </c>
      <c r="M263" s="7">
        <v>5</v>
      </c>
      <c r="N263" s="40" t="str">
        <f>IF(tbl_xbox[[#This Row],[Coupon Value]]=$L$3,"No","Yes")</f>
        <v>No</v>
      </c>
      <c r="O263" s="40" t="str">
        <f>IF(OR(tbl_xbox[[#This Row],[EA Play Season Pass]]="Yes",tbl_xbox[[#This Row],[Minecraft Season Pass]]="Yes"),"Yes","No")</f>
        <v>No</v>
      </c>
      <c r="P263" s="40">
        <f>tbl_xbox[[#This Row],[Subscription Price]]+tbl_xbox[[#This Row],[EA Play Season Pass
Price]]+tbl_xbox[[#This Row],[Minecraft Season Pass Price]]</f>
        <v>5</v>
      </c>
      <c r="Q263" s="41">
        <f>VLOOKUP(tbl_xbox[[#This Row],[Plan]],tbl_apoio5[#All],2,FALSE)</f>
        <v>0</v>
      </c>
      <c r="R263" s="41">
        <f>VLOOKUP(tbl_xbox[[#This Row],[EA Play Season Pass]],tbl_apoio5[[EA Play Season Pass]:[output2]],2,FALSE)</f>
        <v>0</v>
      </c>
      <c r="S263" s="41">
        <f>VLOOKUP(tbl_xbox[[#This Row],[Minecraft Season Pass]],tbl_apoio5[[Minecraft Season Pass]:[Minecraft Season Pass2]],2,FALSE)</f>
        <v>0</v>
      </c>
      <c r="T263" s="41">
        <f>SUM(tbl_xbox[[#This Row],[Plan2]:[Minecraft Season Pass2]])</f>
        <v>0</v>
      </c>
      <c r="U263" s="40" t="str">
        <f>VLOOKUP(tbl_xbox[[#This Row],[soma]],tbl_apoio5[[#All],[soma]:[output2]],2,FALSE)</f>
        <v>No Extras</v>
      </c>
      <c r="V263" s="7"/>
    </row>
    <row r="264" spans="1:22" ht="16.5" customHeight="1" x14ac:dyDescent="0.2">
      <c r="A264" s="4">
        <v>3493</v>
      </c>
      <c r="B264" s="4" t="s">
        <v>272</v>
      </c>
      <c r="C264" s="4" t="s">
        <v>10</v>
      </c>
      <c r="D264" s="6">
        <v>45610</v>
      </c>
      <c r="E264" s="4" t="s">
        <v>15</v>
      </c>
      <c r="F264" s="7">
        <v>15</v>
      </c>
      <c r="G264" s="4" t="s">
        <v>19</v>
      </c>
      <c r="H264" s="4" t="s">
        <v>11</v>
      </c>
      <c r="I264" s="7">
        <v>30</v>
      </c>
      <c r="J264" s="4" t="s">
        <v>11</v>
      </c>
      <c r="K264" s="7">
        <v>20</v>
      </c>
      <c r="L264" s="7">
        <v>20</v>
      </c>
      <c r="M264" s="7">
        <v>45</v>
      </c>
      <c r="N264" s="40" t="str">
        <f>IF(tbl_xbox[[#This Row],[Coupon Value]]=$L$3,"No","Yes")</f>
        <v>Yes</v>
      </c>
      <c r="O264" s="40" t="str">
        <f>IF(OR(tbl_xbox[[#This Row],[EA Play Season Pass]]="Yes",tbl_xbox[[#This Row],[Minecraft Season Pass]]="Yes"),"Yes","No")</f>
        <v>Yes</v>
      </c>
      <c r="P264" s="40">
        <f>tbl_xbox[[#This Row],[Subscription Price]]+tbl_xbox[[#This Row],[EA Play Season Pass
Price]]+tbl_xbox[[#This Row],[Minecraft Season Pass Price]]</f>
        <v>65</v>
      </c>
      <c r="Q264" s="41">
        <f>VLOOKUP(tbl_xbox[[#This Row],[Plan]],tbl_apoio5[#All],2,FALSE)</f>
        <v>2</v>
      </c>
      <c r="R264" s="41">
        <f>VLOOKUP(tbl_xbox[[#This Row],[EA Play Season Pass]],tbl_apoio5[[EA Play Season Pass]:[output2]],2,FALSE)</f>
        <v>3</v>
      </c>
      <c r="S264" s="41">
        <f>VLOOKUP(tbl_xbox[[#This Row],[Minecraft Season Pass]],tbl_apoio5[[Minecraft Season Pass]:[Minecraft Season Pass2]],2,FALSE)</f>
        <v>6</v>
      </c>
      <c r="T264" s="41">
        <f>SUM(tbl_xbox[[#This Row],[Plan2]:[Minecraft Season Pass2]])</f>
        <v>11</v>
      </c>
      <c r="U264" s="40" t="str">
        <f>VLOOKUP(tbl_xbox[[#This Row],[soma]],tbl_apoio5[[#All],[soma]:[output2]],2,FALSE)</f>
        <v>EA Play + Minecraft</v>
      </c>
      <c r="V264" s="7"/>
    </row>
    <row r="265" spans="1:22" ht="16.5" customHeight="1" x14ac:dyDescent="0.2">
      <c r="A265" s="4">
        <v>3494</v>
      </c>
      <c r="B265" s="4" t="s">
        <v>273</v>
      </c>
      <c r="C265" s="4" t="s">
        <v>18</v>
      </c>
      <c r="D265" s="6">
        <v>45611</v>
      </c>
      <c r="E265" s="4" t="s">
        <v>11</v>
      </c>
      <c r="F265" s="7">
        <v>10</v>
      </c>
      <c r="G265" s="4" t="s">
        <v>19</v>
      </c>
      <c r="H265" s="4" t="s">
        <v>15</v>
      </c>
      <c r="I265" s="7">
        <v>0</v>
      </c>
      <c r="J265" s="4" t="s">
        <v>11</v>
      </c>
      <c r="K265" s="7">
        <v>20</v>
      </c>
      <c r="L265" s="7">
        <v>12</v>
      </c>
      <c r="M265" s="7">
        <v>18</v>
      </c>
      <c r="N265" s="40" t="str">
        <f>IF(tbl_xbox[[#This Row],[Coupon Value]]=$L$3,"No","Yes")</f>
        <v>Yes</v>
      </c>
      <c r="O265" s="40" t="str">
        <f>IF(OR(tbl_xbox[[#This Row],[EA Play Season Pass]]="Yes",tbl_xbox[[#This Row],[Minecraft Season Pass]]="Yes"),"Yes","No")</f>
        <v>Yes</v>
      </c>
      <c r="P265" s="40">
        <f>tbl_xbox[[#This Row],[Subscription Price]]+tbl_xbox[[#This Row],[EA Play Season Pass
Price]]+tbl_xbox[[#This Row],[Minecraft Season Pass Price]]</f>
        <v>30</v>
      </c>
      <c r="Q265" s="41">
        <f>VLOOKUP(tbl_xbox[[#This Row],[Plan]],tbl_apoio5[#All],2,FALSE)</f>
        <v>1</v>
      </c>
      <c r="R265" s="41">
        <f>VLOOKUP(tbl_xbox[[#This Row],[EA Play Season Pass]],tbl_apoio5[[EA Play Season Pass]:[output2]],2,FALSE)</f>
        <v>0</v>
      </c>
      <c r="S265" s="41">
        <f>VLOOKUP(tbl_xbox[[#This Row],[Minecraft Season Pass]],tbl_apoio5[[Minecraft Season Pass]:[Minecraft Season Pass2]],2,FALSE)</f>
        <v>6</v>
      </c>
      <c r="T265" s="41">
        <f>SUM(tbl_xbox[[#This Row],[Plan2]:[Minecraft Season Pass2]])</f>
        <v>7</v>
      </c>
      <c r="U265" s="40" t="str">
        <f>VLOOKUP(tbl_xbox[[#This Row],[soma]],tbl_apoio5[[#All],[soma]:[output2]],2,FALSE)</f>
        <v>Minecraft</v>
      </c>
      <c r="V265" s="7"/>
    </row>
    <row r="266" spans="1:22" ht="16.5" customHeight="1" x14ac:dyDescent="0.2">
      <c r="A266" s="4">
        <v>3495</v>
      </c>
      <c r="B266" s="4" t="s">
        <v>274</v>
      </c>
      <c r="C266" s="4" t="s">
        <v>14</v>
      </c>
      <c r="D266" s="6">
        <v>45612</v>
      </c>
      <c r="E266" s="4" t="s">
        <v>15</v>
      </c>
      <c r="F266" s="7">
        <v>5</v>
      </c>
      <c r="G266" s="4" t="s">
        <v>12</v>
      </c>
      <c r="H266" s="4" t="s">
        <v>15</v>
      </c>
      <c r="I266" s="7">
        <v>0</v>
      </c>
      <c r="J266" s="4" t="s">
        <v>15</v>
      </c>
      <c r="K266" s="7">
        <v>0</v>
      </c>
      <c r="L266" s="7">
        <v>2</v>
      </c>
      <c r="M266" s="7">
        <v>3</v>
      </c>
      <c r="N266" s="40" t="str">
        <f>IF(tbl_xbox[[#This Row],[Coupon Value]]=$L$3,"No","Yes")</f>
        <v>Yes</v>
      </c>
      <c r="O266" s="40" t="str">
        <f>IF(OR(tbl_xbox[[#This Row],[EA Play Season Pass]]="Yes",tbl_xbox[[#This Row],[Minecraft Season Pass]]="Yes"),"Yes","No")</f>
        <v>No</v>
      </c>
      <c r="P266" s="40">
        <f>tbl_xbox[[#This Row],[Subscription Price]]+tbl_xbox[[#This Row],[EA Play Season Pass
Price]]+tbl_xbox[[#This Row],[Minecraft Season Pass Price]]</f>
        <v>5</v>
      </c>
      <c r="Q266" s="41">
        <f>VLOOKUP(tbl_xbox[[#This Row],[Plan]],tbl_apoio5[#All],2,FALSE)</f>
        <v>0</v>
      </c>
      <c r="R266" s="41">
        <f>VLOOKUP(tbl_xbox[[#This Row],[EA Play Season Pass]],tbl_apoio5[[EA Play Season Pass]:[output2]],2,FALSE)</f>
        <v>0</v>
      </c>
      <c r="S266" s="41">
        <f>VLOOKUP(tbl_xbox[[#This Row],[Minecraft Season Pass]],tbl_apoio5[[Minecraft Season Pass]:[Minecraft Season Pass2]],2,FALSE)</f>
        <v>0</v>
      </c>
      <c r="T266" s="41">
        <f>SUM(tbl_xbox[[#This Row],[Plan2]:[Minecraft Season Pass2]])</f>
        <v>0</v>
      </c>
      <c r="U266" s="40" t="str">
        <f>VLOOKUP(tbl_xbox[[#This Row],[soma]],tbl_apoio5[[#All],[soma]:[output2]],2,FALSE)</f>
        <v>No Extras</v>
      </c>
      <c r="V266" s="7"/>
    </row>
    <row r="267" spans="1:22" ht="16.5" customHeight="1" x14ac:dyDescent="0.2">
      <c r="A267" s="4">
        <v>3496</v>
      </c>
      <c r="B267" s="4" t="s">
        <v>275</v>
      </c>
      <c r="C267" s="4" t="s">
        <v>10</v>
      </c>
      <c r="D267" s="6">
        <v>45613</v>
      </c>
      <c r="E267" s="4" t="s">
        <v>11</v>
      </c>
      <c r="F267" s="7">
        <v>15</v>
      </c>
      <c r="G267" s="4" t="s">
        <v>16</v>
      </c>
      <c r="H267" s="4" t="s">
        <v>11</v>
      </c>
      <c r="I267" s="7">
        <v>30</v>
      </c>
      <c r="J267" s="4" t="s">
        <v>11</v>
      </c>
      <c r="K267" s="7">
        <v>20</v>
      </c>
      <c r="L267" s="7">
        <v>5</v>
      </c>
      <c r="M267" s="7">
        <v>60</v>
      </c>
      <c r="N267" s="40" t="str">
        <f>IF(tbl_xbox[[#This Row],[Coupon Value]]=$L$3,"No","Yes")</f>
        <v>Yes</v>
      </c>
      <c r="O267" s="40" t="str">
        <f>IF(OR(tbl_xbox[[#This Row],[EA Play Season Pass]]="Yes",tbl_xbox[[#This Row],[Minecraft Season Pass]]="Yes"),"Yes","No")</f>
        <v>Yes</v>
      </c>
      <c r="P267" s="40">
        <f>tbl_xbox[[#This Row],[Subscription Price]]+tbl_xbox[[#This Row],[EA Play Season Pass
Price]]+tbl_xbox[[#This Row],[Minecraft Season Pass Price]]</f>
        <v>65</v>
      </c>
      <c r="Q267" s="41">
        <f>VLOOKUP(tbl_xbox[[#This Row],[Plan]],tbl_apoio5[#All],2,FALSE)</f>
        <v>2</v>
      </c>
      <c r="R267" s="41">
        <f>VLOOKUP(tbl_xbox[[#This Row],[EA Play Season Pass]],tbl_apoio5[[EA Play Season Pass]:[output2]],2,FALSE)</f>
        <v>3</v>
      </c>
      <c r="S267" s="41">
        <f>VLOOKUP(tbl_xbox[[#This Row],[Minecraft Season Pass]],tbl_apoio5[[Minecraft Season Pass]:[Minecraft Season Pass2]],2,FALSE)</f>
        <v>6</v>
      </c>
      <c r="T267" s="41">
        <f>SUM(tbl_xbox[[#This Row],[Plan2]:[Minecraft Season Pass2]])</f>
        <v>11</v>
      </c>
      <c r="U267" s="40" t="str">
        <f>VLOOKUP(tbl_xbox[[#This Row],[soma]],tbl_apoio5[[#All],[soma]:[output2]],2,FALSE)</f>
        <v>EA Play + Minecraft</v>
      </c>
      <c r="V267" s="7"/>
    </row>
    <row r="268" spans="1:22" ht="16.5" customHeight="1" x14ac:dyDescent="0.2">
      <c r="A268" s="4">
        <v>3497</v>
      </c>
      <c r="B268" s="4" t="s">
        <v>276</v>
      </c>
      <c r="C268" s="4" t="s">
        <v>18</v>
      </c>
      <c r="D268" s="6">
        <v>45614</v>
      </c>
      <c r="E268" s="4" t="s">
        <v>15</v>
      </c>
      <c r="F268" s="7">
        <v>10</v>
      </c>
      <c r="G268" s="4" t="s">
        <v>12</v>
      </c>
      <c r="H268" s="4" t="s">
        <v>15</v>
      </c>
      <c r="I268" s="7">
        <v>0</v>
      </c>
      <c r="J268" s="4" t="s">
        <v>11</v>
      </c>
      <c r="K268" s="7">
        <v>20</v>
      </c>
      <c r="L268" s="7">
        <v>10</v>
      </c>
      <c r="M268" s="7">
        <v>20</v>
      </c>
      <c r="N268" s="40" t="str">
        <f>IF(tbl_xbox[[#This Row],[Coupon Value]]=$L$3,"No","Yes")</f>
        <v>Yes</v>
      </c>
      <c r="O268" s="40" t="str">
        <f>IF(OR(tbl_xbox[[#This Row],[EA Play Season Pass]]="Yes",tbl_xbox[[#This Row],[Minecraft Season Pass]]="Yes"),"Yes","No")</f>
        <v>Yes</v>
      </c>
      <c r="P268" s="40">
        <f>tbl_xbox[[#This Row],[Subscription Price]]+tbl_xbox[[#This Row],[EA Play Season Pass
Price]]+tbl_xbox[[#This Row],[Minecraft Season Pass Price]]</f>
        <v>30</v>
      </c>
      <c r="Q268" s="41">
        <f>VLOOKUP(tbl_xbox[[#This Row],[Plan]],tbl_apoio5[#All],2,FALSE)</f>
        <v>1</v>
      </c>
      <c r="R268" s="41">
        <f>VLOOKUP(tbl_xbox[[#This Row],[EA Play Season Pass]],tbl_apoio5[[EA Play Season Pass]:[output2]],2,FALSE)</f>
        <v>0</v>
      </c>
      <c r="S268" s="41">
        <f>VLOOKUP(tbl_xbox[[#This Row],[Minecraft Season Pass]],tbl_apoio5[[Minecraft Season Pass]:[Minecraft Season Pass2]],2,FALSE)</f>
        <v>6</v>
      </c>
      <c r="T268" s="41">
        <f>SUM(tbl_xbox[[#This Row],[Plan2]:[Minecraft Season Pass2]])</f>
        <v>7</v>
      </c>
      <c r="U268" s="40" t="str">
        <f>VLOOKUP(tbl_xbox[[#This Row],[soma]],tbl_apoio5[[#All],[soma]:[output2]],2,FALSE)</f>
        <v>Minecraft</v>
      </c>
      <c r="V268" s="7"/>
    </row>
    <row r="269" spans="1:22" ht="16.5" customHeight="1" x14ac:dyDescent="0.2">
      <c r="A269" s="4">
        <v>3498</v>
      </c>
      <c r="B269" s="4" t="s">
        <v>277</v>
      </c>
      <c r="C269" s="4" t="s">
        <v>14</v>
      </c>
      <c r="D269" s="6">
        <v>45615</v>
      </c>
      <c r="E269" s="4" t="s">
        <v>11</v>
      </c>
      <c r="F269" s="7">
        <v>5</v>
      </c>
      <c r="G269" s="4" t="s">
        <v>19</v>
      </c>
      <c r="H269" s="4" t="s">
        <v>15</v>
      </c>
      <c r="I269" s="7">
        <v>0</v>
      </c>
      <c r="J269" s="4" t="s">
        <v>15</v>
      </c>
      <c r="K269" s="7">
        <v>0</v>
      </c>
      <c r="L269" s="7">
        <v>0</v>
      </c>
      <c r="M269" s="7">
        <v>5</v>
      </c>
      <c r="N269" s="40" t="str">
        <f>IF(tbl_xbox[[#This Row],[Coupon Value]]=$L$3,"No","Yes")</f>
        <v>No</v>
      </c>
      <c r="O269" s="40" t="str">
        <f>IF(OR(tbl_xbox[[#This Row],[EA Play Season Pass]]="Yes",tbl_xbox[[#This Row],[Minecraft Season Pass]]="Yes"),"Yes","No")</f>
        <v>No</v>
      </c>
      <c r="P269" s="40">
        <f>tbl_xbox[[#This Row],[Subscription Price]]+tbl_xbox[[#This Row],[EA Play Season Pass
Price]]+tbl_xbox[[#This Row],[Minecraft Season Pass Price]]</f>
        <v>5</v>
      </c>
      <c r="Q269" s="41">
        <f>VLOOKUP(tbl_xbox[[#This Row],[Plan]],tbl_apoio5[#All],2,FALSE)</f>
        <v>0</v>
      </c>
      <c r="R269" s="41">
        <f>VLOOKUP(tbl_xbox[[#This Row],[EA Play Season Pass]],tbl_apoio5[[EA Play Season Pass]:[output2]],2,FALSE)</f>
        <v>0</v>
      </c>
      <c r="S269" s="41">
        <f>VLOOKUP(tbl_xbox[[#This Row],[Minecraft Season Pass]],tbl_apoio5[[Minecraft Season Pass]:[Minecraft Season Pass2]],2,FALSE)</f>
        <v>0</v>
      </c>
      <c r="T269" s="41">
        <f>SUM(tbl_xbox[[#This Row],[Plan2]:[Minecraft Season Pass2]])</f>
        <v>0</v>
      </c>
      <c r="U269" s="40" t="str">
        <f>VLOOKUP(tbl_xbox[[#This Row],[soma]],tbl_apoio5[[#All],[soma]:[output2]],2,FALSE)</f>
        <v>No Extras</v>
      </c>
      <c r="V269" s="7"/>
    </row>
    <row r="270" spans="1:22" ht="16.5" customHeight="1" x14ac:dyDescent="0.2">
      <c r="A270" s="4">
        <v>3499</v>
      </c>
      <c r="B270" s="4" t="s">
        <v>278</v>
      </c>
      <c r="C270" s="4" t="s">
        <v>10</v>
      </c>
      <c r="D270" s="6">
        <v>45616</v>
      </c>
      <c r="E270" s="4" t="s">
        <v>15</v>
      </c>
      <c r="F270" s="7">
        <v>15</v>
      </c>
      <c r="G270" s="4" t="s">
        <v>12</v>
      </c>
      <c r="H270" s="4" t="s">
        <v>11</v>
      </c>
      <c r="I270" s="7">
        <v>30</v>
      </c>
      <c r="J270" s="4" t="s">
        <v>11</v>
      </c>
      <c r="K270" s="7">
        <v>20</v>
      </c>
      <c r="L270" s="7">
        <v>3</v>
      </c>
      <c r="M270" s="7">
        <v>62</v>
      </c>
      <c r="N270" s="40" t="str">
        <f>IF(tbl_xbox[[#This Row],[Coupon Value]]=$L$3,"No","Yes")</f>
        <v>Yes</v>
      </c>
      <c r="O270" s="40" t="str">
        <f>IF(OR(tbl_xbox[[#This Row],[EA Play Season Pass]]="Yes",tbl_xbox[[#This Row],[Minecraft Season Pass]]="Yes"),"Yes","No")</f>
        <v>Yes</v>
      </c>
      <c r="P270" s="40">
        <f>tbl_xbox[[#This Row],[Subscription Price]]+tbl_xbox[[#This Row],[EA Play Season Pass
Price]]+tbl_xbox[[#This Row],[Minecraft Season Pass Price]]</f>
        <v>65</v>
      </c>
      <c r="Q270" s="41">
        <f>VLOOKUP(tbl_xbox[[#This Row],[Plan]],tbl_apoio5[#All],2,FALSE)</f>
        <v>2</v>
      </c>
      <c r="R270" s="41">
        <f>VLOOKUP(tbl_xbox[[#This Row],[EA Play Season Pass]],tbl_apoio5[[EA Play Season Pass]:[output2]],2,FALSE)</f>
        <v>3</v>
      </c>
      <c r="S270" s="41">
        <f>VLOOKUP(tbl_xbox[[#This Row],[Minecraft Season Pass]],tbl_apoio5[[Minecraft Season Pass]:[Minecraft Season Pass2]],2,FALSE)</f>
        <v>6</v>
      </c>
      <c r="T270" s="41">
        <f>SUM(tbl_xbox[[#This Row],[Plan2]:[Minecraft Season Pass2]])</f>
        <v>11</v>
      </c>
      <c r="U270" s="40" t="str">
        <f>VLOOKUP(tbl_xbox[[#This Row],[soma]],tbl_apoio5[[#All],[soma]:[output2]],2,FALSE)</f>
        <v>EA Play + Minecraft</v>
      </c>
      <c r="V270" s="7"/>
    </row>
    <row r="271" spans="1:22" ht="16.5" customHeight="1" x14ac:dyDescent="0.2">
      <c r="A271" s="4">
        <v>3500</v>
      </c>
      <c r="B271" s="4" t="s">
        <v>279</v>
      </c>
      <c r="C271" s="4" t="s">
        <v>18</v>
      </c>
      <c r="D271" s="6">
        <v>45617</v>
      </c>
      <c r="E271" s="4" t="s">
        <v>11</v>
      </c>
      <c r="F271" s="7">
        <v>10</v>
      </c>
      <c r="G271" s="4" t="s">
        <v>16</v>
      </c>
      <c r="H271" s="4" t="s">
        <v>15</v>
      </c>
      <c r="I271" s="7">
        <v>0</v>
      </c>
      <c r="J271" s="4" t="s">
        <v>11</v>
      </c>
      <c r="K271" s="7">
        <v>20</v>
      </c>
      <c r="L271" s="7">
        <v>15</v>
      </c>
      <c r="M271" s="7">
        <v>15</v>
      </c>
      <c r="N271" s="40" t="str">
        <f>IF(tbl_xbox[[#This Row],[Coupon Value]]=$L$3,"No","Yes")</f>
        <v>Yes</v>
      </c>
      <c r="O271" s="40" t="str">
        <f>IF(OR(tbl_xbox[[#This Row],[EA Play Season Pass]]="Yes",tbl_xbox[[#This Row],[Minecraft Season Pass]]="Yes"),"Yes","No")</f>
        <v>Yes</v>
      </c>
      <c r="P271" s="40">
        <f>tbl_xbox[[#This Row],[Subscription Price]]+tbl_xbox[[#This Row],[EA Play Season Pass
Price]]+tbl_xbox[[#This Row],[Minecraft Season Pass Price]]</f>
        <v>30</v>
      </c>
      <c r="Q271" s="41">
        <f>VLOOKUP(tbl_xbox[[#This Row],[Plan]],tbl_apoio5[#All],2,FALSE)</f>
        <v>1</v>
      </c>
      <c r="R271" s="41">
        <f>VLOOKUP(tbl_xbox[[#This Row],[EA Play Season Pass]],tbl_apoio5[[EA Play Season Pass]:[output2]],2,FALSE)</f>
        <v>0</v>
      </c>
      <c r="S271" s="41">
        <f>VLOOKUP(tbl_xbox[[#This Row],[Minecraft Season Pass]],tbl_apoio5[[Minecraft Season Pass]:[Minecraft Season Pass2]],2,FALSE)</f>
        <v>6</v>
      </c>
      <c r="T271" s="41">
        <f>SUM(tbl_xbox[[#This Row],[Plan2]:[Minecraft Season Pass2]])</f>
        <v>7</v>
      </c>
      <c r="U271" s="40" t="str">
        <f>VLOOKUP(tbl_xbox[[#This Row],[soma]],tbl_apoio5[[#All],[soma]:[output2]],2,FALSE)</f>
        <v>Minecraft</v>
      </c>
      <c r="V271" s="7"/>
    </row>
    <row r="272" spans="1:22" ht="16.5" customHeight="1" x14ac:dyDescent="0.2">
      <c r="A272" s="4">
        <v>3501</v>
      </c>
      <c r="B272" s="4" t="s">
        <v>280</v>
      </c>
      <c r="C272" s="4" t="s">
        <v>14</v>
      </c>
      <c r="D272" s="6">
        <v>45618</v>
      </c>
      <c r="E272" s="4" t="s">
        <v>15</v>
      </c>
      <c r="F272" s="7">
        <v>5</v>
      </c>
      <c r="G272" s="4" t="s">
        <v>12</v>
      </c>
      <c r="H272" s="4" t="s">
        <v>15</v>
      </c>
      <c r="I272" s="7">
        <v>0</v>
      </c>
      <c r="J272" s="4" t="s">
        <v>15</v>
      </c>
      <c r="K272" s="7">
        <v>0</v>
      </c>
      <c r="L272" s="7">
        <v>1</v>
      </c>
      <c r="M272" s="7">
        <v>4</v>
      </c>
      <c r="N272" s="40" t="str">
        <f>IF(tbl_xbox[[#This Row],[Coupon Value]]=$L$3,"No","Yes")</f>
        <v>Yes</v>
      </c>
      <c r="O272" s="40" t="str">
        <f>IF(OR(tbl_xbox[[#This Row],[EA Play Season Pass]]="Yes",tbl_xbox[[#This Row],[Minecraft Season Pass]]="Yes"),"Yes","No")</f>
        <v>No</v>
      </c>
      <c r="P272" s="40">
        <f>tbl_xbox[[#This Row],[Subscription Price]]+tbl_xbox[[#This Row],[EA Play Season Pass
Price]]+tbl_xbox[[#This Row],[Minecraft Season Pass Price]]</f>
        <v>5</v>
      </c>
      <c r="Q272" s="41">
        <f>VLOOKUP(tbl_xbox[[#This Row],[Plan]],tbl_apoio5[#All],2,FALSE)</f>
        <v>0</v>
      </c>
      <c r="R272" s="41">
        <f>VLOOKUP(tbl_xbox[[#This Row],[EA Play Season Pass]],tbl_apoio5[[EA Play Season Pass]:[output2]],2,FALSE)</f>
        <v>0</v>
      </c>
      <c r="S272" s="41">
        <f>VLOOKUP(tbl_xbox[[#This Row],[Minecraft Season Pass]],tbl_apoio5[[Minecraft Season Pass]:[Minecraft Season Pass2]],2,FALSE)</f>
        <v>0</v>
      </c>
      <c r="T272" s="41">
        <f>SUM(tbl_xbox[[#This Row],[Plan2]:[Minecraft Season Pass2]])</f>
        <v>0</v>
      </c>
      <c r="U272" s="40" t="str">
        <f>VLOOKUP(tbl_xbox[[#This Row],[soma]],tbl_apoio5[[#All],[soma]:[output2]],2,FALSE)</f>
        <v>No Extras</v>
      </c>
      <c r="V272" s="7"/>
    </row>
    <row r="273" spans="1:22" ht="16.5" customHeight="1" x14ac:dyDescent="0.2">
      <c r="A273" s="4">
        <v>3502</v>
      </c>
      <c r="B273" s="4" t="s">
        <v>281</v>
      </c>
      <c r="C273" s="4" t="s">
        <v>10</v>
      </c>
      <c r="D273" s="6">
        <v>45619</v>
      </c>
      <c r="E273" s="4" t="s">
        <v>11</v>
      </c>
      <c r="F273" s="7">
        <v>15</v>
      </c>
      <c r="G273" s="4" t="s">
        <v>19</v>
      </c>
      <c r="H273" s="4" t="s">
        <v>11</v>
      </c>
      <c r="I273" s="7">
        <v>30</v>
      </c>
      <c r="J273" s="4" t="s">
        <v>11</v>
      </c>
      <c r="K273" s="7">
        <v>20</v>
      </c>
      <c r="L273" s="7">
        <v>7</v>
      </c>
      <c r="M273" s="7">
        <v>58</v>
      </c>
      <c r="N273" s="40" t="str">
        <f>IF(tbl_xbox[[#This Row],[Coupon Value]]=$L$3,"No","Yes")</f>
        <v>Yes</v>
      </c>
      <c r="O273" s="40" t="str">
        <f>IF(OR(tbl_xbox[[#This Row],[EA Play Season Pass]]="Yes",tbl_xbox[[#This Row],[Minecraft Season Pass]]="Yes"),"Yes","No")</f>
        <v>Yes</v>
      </c>
      <c r="P273" s="40">
        <f>tbl_xbox[[#This Row],[Subscription Price]]+tbl_xbox[[#This Row],[EA Play Season Pass
Price]]+tbl_xbox[[#This Row],[Minecraft Season Pass Price]]</f>
        <v>65</v>
      </c>
      <c r="Q273" s="41">
        <f>VLOOKUP(tbl_xbox[[#This Row],[Plan]],tbl_apoio5[#All],2,FALSE)</f>
        <v>2</v>
      </c>
      <c r="R273" s="41">
        <f>VLOOKUP(tbl_xbox[[#This Row],[EA Play Season Pass]],tbl_apoio5[[EA Play Season Pass]:[output2]],2,FALSE)</f>
        <v>3</v>
      </c>
      <c r="S273" s="41">
        <f>VLOOKUP(tbl_xbox[[#This Row],[Minecraft Season Pass]],tbl_apoio5[[Minecraft Season Pass]:[Minecraft Season Pass2]],2,FALSE)</f>
        <v>6</v>
      </c>
      <c r="T273" s="41">
        <f>SUM(tbl_xbox[[#This Row],[Plan2]:[Minecraft Season Pass2]])</f>
        <v>11</v>
      </c>
      <c r="U273" s="40" t="str">
        <f>VLOOKUP(tbl_xbox[[#This Row],[soma]],tbl_apoio5[[#All],[soma]:[output2]],2,FALSE)</f>
        <v>EA Play + Minecraft</v>
      </c>
      <c r="V273" s="7"/>
    </row>
    <row r="274" spans="1:22" ht="16.5" customHeight="1" x14ac:dyDescent="0.2">
      <c r="A274" s="4">
        <v>3503</v>
      </c>
      <c r="B274" s="4" t="s">
        <v>140</v>
      </c>
      <c r="C274" s="4" t="s">
        <v>18</v>
      </c>
      <c r="D274" s="6">
        <v>45620</v>
      </c>
      <c r="E274" s="4" t="s">
        <v>15</v>
      </c>
      <c r="F274" s="7">
        <v>10</v>
      </c>
      <c r="G274" s="4" t="s">
        <v>12</v>
      </c>
      <c r="H274" s="4" t="s">
        <v>15</v>
      </c>
      <c r="I274" s="7">
        <v>0</v>
      </c>
      <c r="J274" s="4" t="s">
        <v>11</v>
      </c>
      <c r="K274" s="7">
        <v>20</v>
      </c>
      <c r="L274" s="7">
        <v>10</v>
      </c>
      <c r="M274" s="7">
        <v>20</v>
      </c>
      <c r="N274" s="40" t="str">
        <f>IF(tbl_xbox[[#This Row],[Coupon Value]]=$L$3,"No","Yes")</f>
        <v>Yes</v>
      </c>
      <c r="O274" s="40" t="str">
        <f>IF(OR(tbl_xbox[[#This Row],[EA Play Season Pass]]="Yes",tbl_xbox[[#This Row],[Minecraft Season Pass]]="Yes"),"Yes","No")</f>
        <v>Yes</v>
      </c>
      <c r="P274" s="40">
        <f>tbl_xbox[[#This Row],[Subscription Price]]+tbl_xbox[[#This Row],[EA Play Season Pass
Price]]+tbl_xbox[[#This Row],[Minecraft Season Pass Price]]</f>
        <v>30</v>
      </c>
      <c r="Q274" s="41">
        <f>VLOOKUP(tbl_xbox[[#This Row],[Plan]],tbl_apoio5[#All],2,FALSE)</f>
        <v>1</v>
      </c>
      <c r="R274" s="41">
        <f>VLOOKUP(tbl_xbox[[#This Row],[EA Play Season Pass]],tbl_apoio5[[EA Play Season Pass]:[output2]],2,FALSE)</f>
        <v>0</v>
      </c>
      <c r="S274" s="41">
        <f>VLOOKUP(tbl_xbox[[#This Row],[Minecraft Season Pass]],tbl_apoio5[[Minecraft Season Pass]:[Minecraft Season Pass2]],2,FALSE)</f>
        <v>6</v>
      </c>
      <c r="T274" s="41">
        <f>SUM(tbl_xbox[[#This Row],[Plan2]:[Minecraft Season Pass2]])</f>
        <v>7</v>
      </c>
      <c r="U274" s="40" t="str">
        <f>VLOOKUP(tbl_xbox[[#This Row],[soma]],tbl_apoio5[[#All],[soma]:[output2]],2,FALSE)</f>
        <v>Minecraft</v>
      </c>
      <c r="V274" s="7"/>
    </row>
    <row r="275" spans="1:22" ht="16.5" customHeight="1" x14ac:dyDescent="0.2">
      <c r="A275" s="4">
        <v>3504</v>
      </c>
      <c r="B275" s="4" t="s">
        <v>282</v>
      </c>
      <c r="C275" s="4" t="s">
        <v>14</v>
      </c>
      <c r="D275" s="6">
        <v>45621</v>
      </c>
      <c r="E275" s="4" t="s">
        <v>11</v>
      </c>
      <c r="F275" s="7">
        <v>5</v>
      </c>
      <c r="G275" s="4" t="s">
        <v>16</v>
      </c>
      <c r="H275" s="4" t="s">
        <v>15</v>
      </c>
      <c r="I275" s="7">
        <v>0</v>
      </c>
      <c r="J275" s="4" t="s">
        <v>15</v>
      </c>
      <c r="K275" s="7">
        <v>0</v>
      </c>
      <c r="L275" s="7">
        <v>0</v>
      </c>
      <c r="M275" s="7">
        <v>5</v>
      </c>
      <c r="N275" s="40" t="str">
        <f>IF(tbl_xbox[[#This Row],[Coupon Value]]=$L$3,"No","Yes")</f>
        <v>No</v>
      </c>
      <c r="O275" s="40" t="str">
        <f>IF(OR(tbl_xbox[[#This Row],[EA Play Season Pass]]="Yes",tbl_xbox[[#This Row],[Minecraft Season Pass]]="Yes"),"Yes","No")</f>
        <v>No</v>
      </c>
      <c r="P275" s="40">
        <f>tbl_xbox[[#This Row],[Subscription Price]]+tbl_xbox[[#This Row],[EA Play Season Pass
Price]]+tbl_xbox[[#This Row],[Minecraft Season Pass Price]]</f>
        <v>5</v>
      </c>
      <c r="Q275" s="41">
        <f>VLOOKUP(tbl_xbox[[#This Row],[Plan]],tbl_apoio5[#All],2,FALSE)</f>
        <v>0</v>
      </c>
      <c r="R275" s="41">
        <f>VLOOKUP(tbl_xbox[[#This Row],[EA Play Season Pass]],tbl_apoio5[[EA Play Season Pass]:[output2]],2,FALSE)</f>
        <v>0</v>
      </c>
      <c r="S275" s="41">
        <f>VLOOKUP(tbl_xbox[[#This Row],[Minecraft Season Pass]],tbl_apoio5[[Minecraft Season Pass]:[Minecraft Season Pass2]],2,FALSE)</f>
        <v>0</v>
      </c>
      <c r="T275" s="41">
        <f>SUM(tbl_xbox[[#This Row],[Plan2]:[Minecraft Season Pass2]])</f>
        <v>0</v>
      </c>
      <c r="U275" s="40" t="str">
        <f>VLOOKUP(tbl_xbox[[#This Row],[soma]],tbl_apoio5[[#All],[soma]:[output2]],2,FALSE)</f>
        <v>No Extras</v>
      </c>
      <c r="V275" s="7"/>
    </row>
    <row r="276" spans="1:22" ht="16.5" customHeight="1" x14ac:dyDescent="0.2">
      <c r="A276" s="4">
        <v>3505</v>
      </c>
      <c r="B276" s="4" t="s">
        <v>283</v>
      </c>
      <c r="C276" s="4" t="s">
        <v>10</v>
      </c>
      <c r="D276" s="6">
        <v>45622</v>
      </c>
      <c r="E276" s="4" t="s">
        <v>15</v>
      </c>
      <c r="F276" s="7">
        <v>15</v>
      </c>
      <c r="G276" s="4" t="s">
        <v>12</v>
      </c>
      <c r="H276" s="4" t="s">
        <v>11</v>
      </c>
      <c r="I276" s="7">
        <v>30</v>
      </c>
      <c r="J276" s="4" t="s">
        <v>11</v>
      </c>
      <c r="K276" s="7">
        <v>20</v>
      </c>
      <c r="L276" s="7">
        <v>20</v>
      </c>
      <c r="M276" s="7">
        <v>45</v>
      </c>
      <c r="N276" s="40" t="str">
        <f>IF(tbl_xbox[[#This Row],[Coupon Value]]=$L$3,"No","Yes")</f>
        <v>Yes</v>
      </c>
      <c r="O276" s="40" t="str">
        <f>IF(OR(tbl_xbox[[#This Row],[EA Play Season Pass]]="Yes",tbl_xbox[[#This Row],[Minecraft Season Pass]]="Yes"),"Yes","No")</f>
        <v>Yes</v>
      </c>
      <c r="P276" s="40">
        <f>tbl_xbox[[#This Row],[Subscription Price]]+tbl_xbox[[#This Row],[EA Play Season Pass
Price]]+tbl_xbox[[#This Row],[Minecraft Season Pass Price]]</f>
        <v>65</v>
      </c>
      <c r="Q276" s="41">
        <f>VLOOKUP(tbl_xbox[[#This Row],[Plan]],tbl_apoio5[#All],2,FALSE)</f>
        <v>2</v>
      </c>
      <c r="R276" s="41">
        <f>VLOOKUP(tbl_xbox[[#This Row],[EA Play Season Pass]],tbl_apoio5[[EA Play Season Pass]:[output2]],2,FALSE)</f>
        <v>3</v>
      </c>
      <c r="S276" s="41">
        <f>VLOOKUP(tbl_xbox[[#This Row],[Minecraft Season Pass]],tbl_apoio5[[Minecraft Season Pass]:[Minecraft Season Pass2]],2,FALSE)</f>
        <v>6</v>
      </c>
      <c r="T276" s="41">
        <f>SUM(tbl_xbox[[#This Row],[Plan2]:[Minecraft Season Pass2]])</f>
        <v>11</v>
      </c>
      <c r="U276" s="40" t="str">
        <f>VLOOKUP(tbl_xbox[[#This Row],[soma]],tbl_apoio5[[#All],[soma]:[output2]],2,FALSE)</f>
        <v>EA Play + Minecraft</v>
      </c>
      <c r="V276" s="7"/>
    </row>
    <row r="277" spans="1:22" ht="16.5" customHeight="1" x14ac:dyDescent="0.2">
      <c r="A277" s="4">
        <v>3506</v>
      </c>
      <c r="B277" s="4" t="s">
        <v>284</v>
      </c>
      <c r="C277" s="4" t="s">
        <v>18</v>
      </c>
      <c r="D277" s="6">
        <v>45623</v>
      </c>
      <c r="E277" s="4" t="s">
        <v>11</v>
      </c>
      <c r="F277" s="7">
        <v>10</v>
      </c>
      <c r="G277" s="4" t="s">
        <v>19</v>
      </c>
      <c r="H277" s="4" t="s">
        <v>15</v>
      </c>
      <c r="I277" s="7">
        <v>0</v>
      </c>
      <c r="J277" s="4" t="s">
        <v>11</v>
      </c>
      <c r="K277" s="7">
        <v>20</v>
      </c>
      <c r="L277" s="7">
        <v>15</v>
      </c>
      <c r="M277" s="7">
        <v>15</v>
      </c>
      <c r="N277" s="40" t="str">
        <f>IF(tbl_xbox[[#This Row],[Coupon Value]]=$L$3,"No","Yes")</f>
        <v>Yes</v>
      </c>
      <c r="O277" s="40" t="str">
        <f>IF(OR(tbl_xbox[[#This Row],[EA Play Season Pass]]="Yes",tbl_xbox[[#This Row],[Minecraft Season Pass]]="Yes"),"Yes","No")</f>
        <v>Yes</v>
      </c>
      <c r="P277" s="40">
        <f>tbl_xbox[[#This Row],[Subscription Price]]+tbl_xbox[[#This Row],[EA Play Season Pass
Price]]+tbl_xbox[[#This Row],[Minecraft Season Pass Price]]</f>
        <v>30</v>
      </c>
      <c r="Q277" s="41">
        <f>VLOOKUP(tbl_xbox[[#This Row],[Plan]],tbl_apoio5[#All],2,FALSE)</f>
        <v>1</v>
      </c>
      <c r="R277" s="41">
        <f>VLOOKUP(tbl_xbox[[#This Row],[EA Play Season Pass]],tbl_apoio5[[EA Play Season Pass]:[output2]],2,FALSE)</f>
        <v>0</v>
      </c>
      <c r="S277" s="41">
        <f>VLOOKUP(tbl_xbox[[#This Row],[Minecraft Season Pass]],tbl_apoio5[[Minecraft Season Pass]:[Minecraft Season Pass2]],2,FALSE)</f>
        <v>6</v>
      </c>
      <c r="T277" s="41">
        <f>SUM(tbl_xbox[[#This Row],[Plan2]:[Minecraft Season Pass2]])</f>
        <v>7</v>
      </c>
      <c r="U277" s="40" t="str">
        <f>VLOOKUP(tbl_xbox[[#This Row],[soma]],tbl_apoio5[[#All],[soma]:[output2]],2,FALSE)</f>
        <v>Minecraft</v>
      </c>
      <c r="V277" s="7"/>
    </row>
    <row r="278" spans="1:22" ht="16.5" customHeight="1" x14ac:dyDescent="0.2">
      <c r="A278" s="4">
        <v>3507</v>
      </c>
      <c r="B278" s="4" t="s">
        <v>285</v>
      </c>
      <c r="C278" s="4" t="s">
        <v>14</v>
      </c>
      <c r="D278" s="6">
        <v>45624</v>
      </c>
      <c r="E278" s="4" t="s">
        <v>15</v>
      </c>
      <c r="F278" s="7">
        <v>5</v>
      </c>
      <c r="G278" s="4" t="s">
        <v>12</v>
      </c>
      <c r="H278" s="4" t="s">
        <v>15</v>
      </c>
      <c r="I278" s="7">
        <v>0</v>
      </c>
      <c r="J278" s="4" t="s">
        <v>15</v>
      </c>
      <c r="K278" s="7">
        <v>0</v>
      </c>
      <c r="L278" s="7">
        <v>1</v>
      </c>
      <c r="M278" s="7">
        <v>4</v>
      </c>
      <c r="N278" s="40" t="str">
        <f>IF(tbl_xbox[[#This Row],[Coupon Value]]=$L$3,"No","Yes")</f>
        <v>Yes</v>
      </c>
      <c r="O278" s="40" t="str">
        <f>IF(OR(tbl_xbox[[#This Row],[EA Play Season Pass]]="Yes",tbl_xbox[[#This Row],[Minecraft Season Pass]]="Yes"),"Yes","No")</f>
        <v>No</v>
      </c>
      <c r="P278" s="40">
        <f>tbl_xbox[[#This Row],[Subscription Price]]+tbl_xbox[[#This Row],[EA Play Season Pass
Price]]+tbl_xbox[[#This Row],[Minecraft Season Pass Price]]</f>
        <v>5</v>
      </c>
      <c r="Q278" s="41">
        <f>VLOOKUP(tbl_xbox[[#This Row],[Plan]],tbl_apoio5[#All],2,FALSE)</f>
        <v>0</v>
      </c>
      <c r="R278" s="41">
        <f>VLOOKUP(tbl_xbox[[#This Row],[EA Play Season Pass]],tbl_apoio5[[EA Play Season Pass]:[output2]],2,FALSE)</f>
        <v>0</v>
      </c>
      <c r="S278" s="41">
        <f>VLOOKUP(tbl_xbox[[#This Row],[Minecraft Season Pass]],tbl_apoio5[[Minecraft Season Pass]:[Minecraft Season Pass2]],2,FALSE)</f>
        <v>0</v>
      </c>
      <c r="T278" s="41">
        <f>SUM(tbl_xbox[[#This Row],[Plan2]:[Minecraft Season Pass2]])</f>
        <v>0</v>
      </c>
      <c r="U278" s="40" t="str">
        <f>VLOOKUP(tbl_xbox[[#This Row],[soma]],tbl_apoio5[[#All],[soma]:[output2]],2,FALSE)</f>
        <v>No Extras</v>
      </c>
      <c r="V278" s="7"/>
    </row>
    <row r="279" spans="1:22" ht="16.5" customHeight="1" x14ac:dyDescent="0.2">
      <c r="A279" s="4">
        <v>3508</v>
      </c>
      <c r="B279" s="4" t="s">
        <v>286</v>
      </c>
      <c r="C279" s="4" t="s">
        <v>10</v>
      </c>
      <c r="D279" s="6">
        <v>45625</v>
      </c>
      <c r="E279" s="4" t="s">
        <v>11</v>
      </c>
      <c r="F279" s="7">
        <v>15</v>
      </c>
      <c r="G279" s="4" t="s">
        <v>16</v>
      </c>
      <c r="H279" s="4" t="s">
        <v>11</v>
      </c>
      <c r="I279" s="7">
        <v>30</v>
      </c>
      <c r="J279" s="4" t="s">
        <v>11</v>
      </c>
      <c r="K279" s="7">
        <v>20</v>
      </c>
      <c r="L279" s="7">
        <v>3</v>
      </c>
      <c r="M279" s="7">
        <v>62</v>
      </c>
      <c r="N279" s="40" t="str">
        <f>IF(tbl_xbox[[#This Row],[Coupon Value]]=$L$3,"No","Yes")</f>
        <v>Yes</v>
      </c>
      <c r="O279" s="40" t="str">
        <f>IF(OR(tbl_xbox[[#This Row],[EA Play Season Pass]]="Yes",tbl_xbox[[#This Row],[Minecraft Season Pass]]="Yes"),"Yes","No")</f>
        <v>Yes</v>
      </c>
      <c r="P279" s="40">
        <f>tbl_xbox[[#This Row],[Subscription Price]]+tbl_xbox[[#This Row],[EA Play Season Pass
Price]]+tbl_xbox[[#This Row],[Minecraft Season Pass Price]]</f>
        <v>65</v>
      </c>
      <c r="Q279" s="41">
        <f>VLOOKUP(tbl_xbox[[#This Row],[Plan]],tbl_apoio5[#All],2,FALSE)</f>
        <v>2</v>
      </c>
      <c r="R279" s="41">
        <f>VLOOKUP(tbl_xbox[[#This Row],[EA Play Season Pass]],tbl_apoio5[[EA Play Season Pass]:[output2]],2,FALSE)</f>
        <v>3</v>
      </c>
      <c r="S279" s="41">
        <f>VLOOKUP(tbl_xbox[[#This Row],[Minecraft Season Pass]],tbl_apoio5[[Minecraft Season Pass]:[Minecraft Season Pass2]],2,FALSE)</f>
        <v>6</v>
      </c>
      <c r="T279" s="41">
        <f>SUM(tbl_xbox[[#This Row],[Plan2]:[Minecraft Season Pass2]])</f>
        <v>11</v>
      </c>
      <c r="U279" s="40" t="str">
        <f>VLOOKUP(tbl_xbox[[#This Row],[soma]],tbl_apoio5[[#All],[soma]:[output2]],2,FALSE)</f>
        <v>EA Play + Minecraft</v>
      </c>
      <c r="V279" s="7"/>
    </row>
    <row r="280" spans="1:22" ht="16.5" customHeight="1" x14ac:dyDescent="0.2">
      <c r="A280" s="4">
        <v>3509</v>
      </c>
      <c r="B280" s="4" t="s">
        <v>287</v>
      </c>
      <c r="C280" s="4" t="s">
        <v>18</v>
      </c>
      <c r="D280" s="6">
        <v>45626</v>
      </c>
      <c r="E280" s="4" t="s">
        <v>15</v>
      </c>
      <c r="F280" s="7">
        <v>10</v>
      </c>
      <c r="G280" s="4" t="s">
        <v>12</v>
      </c>
      <c r="H280" s="4" t="s">
        <v>15</v>
      </c>
      <c r="I280" s="7">
        <v>0</v>
      </c>
      <c r="J280" s="4" t="s">
        <v>11</v>
      </c>
      <c r="K280" s="7">
        <v>20</v>
      </c>
      <c r="L280" s="7">
        <v>10</v>
      </c>
      <c r="M280" s="7">
        <v>20</v>
      </c>
      <c r="N280" s="40" t="str">
        <f>IF(tbl_xbox[[#This Row],[Coupon Value]]=$L$3,"No","Yes")</f>
        <v>Yes</v>
      </c>
      <c r="O280" s="40" t="str">
        <f>IF(OR(tbl_xbox[[#This Row],[EA Play Season Pass]]="Yes",tbl_xbox[[#This Row],[Minecraft Season Pass]]="Yes"),"Yes","No")</f>
        <v>Yes</v>
      </c>
      <c r="P280" s="40">
        <f>tbl_xbox[[#This Row],[Subscription Price]]+tbl_xbox[[#This Row],[EA Play Season Pass
Price]]+tbl_xbox[[#This Row],[Minecraft Season Pass Price]]</f>
        <v>30</v>
      </c>
      <c r="Q280" s="41">
        <f>VLOOKUP(tbl_xbox[[#This Row],[Plan]],tbl_apoio5[#All],2,FALSE)</f>
        <v>1</v>
      </c>
      <c r="R280" s="41">
        <f>VLOOKUP(tbl_xbox[[#This Row],[EA Play Season Pass]],tbl_apoio5[[EA Play Season Pass]:[output2]],2,FALSE)</f>
        <v>0</v>
      </c>
      <c r="S280" s="41">
        <f>VLOOKUP(tbl_xbox[[#This Row],[Minecraft Season Pass]],tbl_apoio5[[Minecraft Season Pass]:[Minecraft Season Pass2]],2,FALSE)</f>
        <v>6</v>
      </c>
      <c r="T280" s="41">
        <f>SUM(tbl_xbox[[#This Row],[Plan2]:[Minecraft Season Pass2]])</f>
        <v>7</v>
      </c>
      <c r="U280" s="40" t="str">
        <f>VLOOKUP(tbl_xbox[[#This Row],[soma]],tbl_apoio5[[#All],[soma]:[output2]],2,FALSE)</f>
        <v>Minecraft</v>
      </c>
      <c r="V280" s="7"/>
    </row>
    <row r="281" spans="1:22" ht="16.5" customHeight="1" x14ac:dyDescent="0.2">
      <c r="A281" s="4">
        <v>3510</v>
      </c>
      <c r="B281" s="4" t="s">
        <v>288</v>
      </c>
      <c r="C281" s="4" t="s">
        <v>14</v>
      </c>
      <c r="D281" s="6">
        <v>45627</v>
      </c>
      <c r="E281" s="4" t="s">
        <v>11</v>
      </c>
      <c r="F281" s="7">
        <v>5</v>
      </c>
      <c r="G281" s="4" t="s">
        <v>19</v>
      </c>
      <c r="H281" s="4" t="s">
        <v>15</v>
      </c>
      <c r="I281" s="7">
        <v>0</v>
      </c>
      <c r="J281" s="4" t="s">
        <v>15</v>
      </c>
      <c r="K281" s="7">
        <v>0</v>
      </c>
      <c r="L281" s="7">
        <v>0</v>
      </c>
      <c r="M281" s="7">
        <v>5</v>
      </c>
      <c r="N281" s="40" t="str">
        <f>IF(tbl_xbox[[#This Row],[Coupon Value]]=$L$3,"No","Yes")</f>
        <v>No</v>
      </c>
      <c r="O281" s="40" t="str">
        <f>IF(OR(tbl_xbox[[#This Row],[EA Play Season Pass]]="Yes",tbl_xbox[[#This Row],[Minecraft Season Pass]]="Yes"),"Yes","No")</f>
        <v>No</v>
      </c>
      <c r="P281" s="40">
        <f>tbl_xbox[[#This Row],[Subscription Price]]+tbl_xbox[[#This Row],[EA Play Season Pass
Price]]+tbl_xbox[[#This Row],[Minecraft Season Pass Price]]</f>
        <v>5</v>
      </c>
      <c r="Q281" s="41">
        <f>VLOOKUP(tbl_xbox[[#This Row],[Plan]],tbl_apoio5[#All],2,FALSE)</f>
        <v>0</v>
      </c>
      <c r="R281" s="41">
        <f>VLOOKUP(tbl_xbox[[#This Row],[EA Play Season Pass]],tbl_apoio5[[EA Play Season Pass]:[output2]],2,FALSE)</f>
        <v>0</v>
      </c>
      <c r="S281" s="41">
        <f>VLOOKUP(tbl_xbox[[#This Row],[Minecraft Season Pass]],tbl_apoio5[[Minecraft Season Pass]:[Minecraft Season Pass2]],2,FALSE)</f>
        <v>0</v>
      </c>
      <c r="T281" s="41">
        <f>SUM(tbl_xbox[[#This Row],[Plan2]:[Minecraft Season Pass2]])</f>
        <v>0</v>
      </c>
      <c r="U281" s="40" t="str">
        <f>VLOOKUP(tbl_xbox[[#This Row],[soma]],tbl_apoio5[[#All],[soma]:[output2]],2,FALSE)</f>
        <v>No Extras</v>
      </c>
      <c r="V281" s="7"/>
    </row>
    <row r="282" spans="1:22" ht="16.5" customHeight="1" x14ac:dyDescent="0.2">
      <c r="A282" s="4">
        <v>3511</v>
      </c>
      <c r="B282" s="4" t="s">
        <v>289</v>
      </c>
      <c r="C282" s="4" t="s">
        <v>10</v>
      </c>
      <c r="D282" s="6">
        <v>45628</v>
      </c>
      <c r="E282" s="4" t="s">
        <v>15</v>
      </c>
      <c r="F282" s="7">
        <v>15</v>
      </c>
      <c r="G282" s="4" t="s">
        <v>12</v>
      </c>
      <c r="H282" s="4" t="s">
        <v>11</v>
      </c>
      <c r="I282" s="7">
        <v>30</v>
      </c>
      <c r="J282" s="4" t="s">
        <v>11</v>
      </c>
      <c r="K282" s="7">
        <v>20</v>
      </c>
      <c r="L282" s="7">
        <v>15</v>
      </c>
      <c r="M282" s="7">
        <v>50</v>
      </c>
      <c r="N282" s="40" t="str">
        <f>IF(tbl_xbox[[#This Row],[Coupon Value]]=$L$3,"No","Yes")</f>
        <v>Yes</v>
      </c>
      <c r="O282" s="40" t="str">
        <f>IF(OR(tbl_xbox[[#This Row],[EA Play Season Pass]]="Yes",tbl_xbox[[#This Row],[Minecraft Season Pass]]="Yes"),"Yes","No")</f>
        <v>Yes</v>
      </c>
      <c r="P282" s="40">
        <f>tbl_xbox[[#This Row],[Subscription Price]]+tbl_xbox[[#This Row],[EA Play Season Pass
Price]]+tbl_xbox[[#This Row],[Minecraft Season Pass Price]]</f>
        <v>65</v>
      </c>
      <c r="Q282" s="41">
        <f>VLOOKUP(tbl_xbox[[#This Row],[Plan]],tbl_apoio5[#All],2,FALSE)</f>
        <v>2</v>
      </c>
      <c r="R282" s="41">
        <f>VLOOKUP(tbl_xbox[[#This Row],[EA Play Season Pass]],tbl_apoio5[[EA Play Season Pass]:[output2]],2,FALSE)</f>
        <v>3</v>
      </c>
      <c r="S282" s="41">
        <f>VLOOKUP(tbl_xbox[[#This Row],[Minecraft Season Pass]],tbl_apoio5[[Minecraft Season Pass]:[Minecraft Season Pass2]],2,FALSE)</f>
        <v>6</v>
      </c>
      <c r="T282" s="41">
        <f>SUM(tbl_xbox[[#This Row],[Plan2]:[Minecraft Season Pass2]])</f>
        <v>11</v>
      </c>
      <c r="U282" s="40" t="str">
        <f>VLOOKUP(tbl_xbox[[#This Row],[soma]],tbl_apoio5[[#All],[soma]:[output2]],2,FALSE)</f>
        <v>EA Play + Minecraft</v>
      </c>
      <c r="V282" s="7"/>
    </row>
    <row r="283" spans="1:22" ht="16.5" customHeight="1" x14ac:dyDescent="0.2">
      <c r="A283" s="4">
        <v>3512</v>
      </c>
      <c r="B283" s="4" t="s">
        <v>290</v>
      </c>
      <c r="C283" s="4" t="s">
        <v>18</v>
      </c>
      <c r="D283" s="6">
        <v>45629</v>
      </c>
      <c r="E283" s="4" t="s">
        <v>11</v>
      </c>
      <c r="F283" s="7">
        <v>10</v>
      </c>
      <c r="G283" s="4" t="s">
        <v>16</v>
      </c>
      <c r="H283" s="4" t="s">
        <v>15</v>
      </c>
      <c r="I283" s="7">
        <v>0</v>
      </c>
      <c r="J283" s="4" t="s">
        <v>11</v>
      </c>
      <c r="K283" s="7">
        <v>20</v>
      </c>
      <c r="L283" s="7">
        <v>15</v>
      </c>
      <c r="M283" s="7">
        <v>15</v>
      </c>
      <c r="N283" s="40" t="str">
        <f>IF(tbl_xbox[[#This Row],[Coupon Value]]=$L$3,"No","Yes")</f>
        <v>Yes</v>
      </c>
      <c r="O283" s="40" t="str">
        <f>IF(OR(tbl_xbox[[#This Row],[EA Play Season Pass]]="Yes",tbl_xbox[[#This Row],[Minecraft Season Pass]]="Yes"),"Yes","No")</f>
        <v>Yes</v>
      </c>
      <c r="P283" s="40">
        <f>tbl_xbox[[#This Row],[Subscription Price]]+tbl_xbox[[#This Row],[EA Play Season Pass
Price]]+tbl_xbox[[#This Row],[Minecraft Season Pass Price]]</f>
        <v>30</v>
      </c>
      <c r="Q283" s="41">
        <f>VLOOKUP(tbl_xbox[[#This Row],[Plan]],tbl_apoio5[#All],2,FALSE)</f>
        <v>1</v>
      </c>
      <c r="R283" s="41">
        <f>VLOOKUP(tbl_xbox[[#This Row],[EA Play Season Pass]],tbl_apoio5[[EA Play Season Pass]:[output2]],2,FALSE)</f>
        <v>0</v>
      </c>
      <c r="S283" s="41">
        <f>VLOOKUP(tbl_xbox[[#This Row],[Minecraft Season Pass]],tbl_apoio5[[Minecraft Season Pass]:[Minecraft Season Pass2]],2,FALSE)</f>
        <v>6</v>
      </c>
      <c r="T283" s="41">
        <f>SUM(tbl_xbox[[#This Row],[Plan2]:[Minecraft Season Pass2]])</f>
        <v>7</v>
      </c>
      <c r="U283" s="40" t="str">
        <f>VLOOKUP(tbl_xbox[[#This Row],[soma]],tbl_apoio5[[#All],[soma]:[output2]],2,FALSE)</f>
        <v>Minecraft</v>
      </c>
      <c r="V283" s="7"/>
    </row>
    <row r="284" spans="1:22" ht="16.5" customHeight="1" x14ac:dyDescent="0.2">
      <c r="A284" s="4">
        <v>3513</v>
      </c>
      <c r="B284" s="4" t="s">
        <v>291</v>
      </c>
      <c r="C284" s="4" t="s">
        <v>14</v>
      </c>
      <c r="D284" s="6">
        <v>45630</v>
      </c>
      <c r="E284" s="4" t="s">
        <v>15</v>
      </c>
      <c r="F284" s="7">
        <v>5</v>
      </c>
      <c r="G284" s="4" t="s">
        <v>12</v>
      </c>
      <c r="H284" s="4" t="s">
        <v>15</v>
      </c>
      <c r="I284" s="7">
        <v>0</v>
      </c>
      <c r="J284" s="4" t="s">
        <v>15</v>
      </c>
      <c r="K284" s="7">
        <v>0</v>
      </c>
      <c r="L284" s="7">
        <v>1</v>
      </c>
      <c r="M284" s="7">
        <v>4</v>
      </c>
      <c r="N284" s="40" t="str">
        <f>IF(tbl_xbox[[#This Row],[Coupon Value]]=$L$3,"No","Yes")</f>
        <v>Yes</v>
      </c>
      <c r="O284" s="40" t="str">
        <f>IF(OR(tbl_xbox[[#This Row],[EA Play Season Pass]]="Yes",tbl_xbox[[#This Row],[Minecraft Season Pass]]="Yes"),"Yes","No")</f>
        <v>No</v>
      </c>
      <c r="P284" s="40">
        <f>tbl_xbox[[#This Row],[Subscription Price]]+tbl_xbox[[#This Row],[EA Play Season Pass
Price]]+tbl_xbox[[#This Row],[Minecraft Season Pass Price]]</f>
        <v>5</v>
      </c>
      <c r="Q284" s="41">
        <f>VLOOKUP(tbl_xbox[[#This Row],[Plan]],tbl_apoio5[#All],2,FALSE)</f>
        <v>0</v>
      </c>
      <c r="R284" s="41">
        <f>VLOOKUP(tbl_xbox[[#This Row],[EA Play Season Pass]],tbl_apoio5[[EA Play Season Pass]:[output2]],2,FALSE)</f>
        <v>0</v>
      </c>
      <c r="S284" s="41">
        <f>VLOOKUP(tbl_xbox[[#This Row],[Minecraft Season Pass]],tbl_apoio5[[Minecraft Season Pass]:[Minecraft Season Pass2]],2,FALSE)</f>
        <v>0</v>
      </c>
      <c r="T284" s="41">
        <f>SUM(tbl_xbox[[#This Row],[Plan2]:[Minecraft Season Pass2]])</f>
        <v>0</v>
      </c>
      <c r="U284" s="40" t="str">
        <f>VLOOKUP(tbl_xbox[[#This Row],[soma]],tbl_apoio5[[#All],[soma]:[output2]],2,FALSE)</f>
        <v>No Extras</v>
      </c>
      <c r="V284" s="7"/>
    </row>
    <row r="285" spans="1:22" ht="16.5" customHeight="1" x14ac:dyDescent="0.2">
      <c r="A285" s="4">
        <v>3514</v>
      </c>
      <c r="B285" s="4" t="s">
        <v>292</v>
      </c>
      <c r="C285" s="4" t="s">
        <v>10</v>
      </c>
      <c r="D285" s="6">
        <v>45631</v>
      </c>
      <c r="E285" s="4" t="s">
        <v>11</v>
      </c>
      <c r="F285" s="7">
        <v>15</v>
      </c>
      <c r="G285" s="4" t="s">
        <v>19</v>
      </c>
      <c r="H285" s="4" t="s">
        <v>11</v>
      </c>
      <c r="I285" s="7">
        <v>30</v>
      </c>
      <c r="J285" s="4" t="s">
        <v>11</v>
      </c>
      <c r="K285" s="7">
        <v>20</v>
      </c>
      <c r="L285" s="7">
        <v>7</v>
      </c>
      <c r="M285" s="7">
        <v>58</v>
      </c>
      <c r="N285" s="40" t="str">
        <f>IF(tbl_xbox[[#This Row],[Coupon Value]]=$L$3,"No","Yes")</f>
        <v>Yes</v>
      </c>
      <c r="O285" s="40" t="str">
        <f>IF(OR(tbl_xbox[[#This Row],[EA Play Season Pass]]="Yes",tbl_xbox[[#This Row],[Minecraft Season Pass]]="Yes"),"Yes","No")</f>
        <v>Yes</v>
      </c>
      <c r="P285" s="40">
        <f>tbl_xbox[[#This Row],[Subscription Price]]+tbl_xbox[[#This Row],[EA Play Season Pass
Price]]+tbl_xbox[[#This Row],[Minecraft Season Pass Price]]</f>
        <v>65</v>
      </c>
      <c r="Q285" s="41">
        <f>VLOOKUP(tbl_xbox[[#This Row],[Plan]],tbl_apoio5[#All],2,FALSE)</f>
        <v>2</v>
      </c>
      <c r="R285" s="41">
        <f>VLOOKUP(tbl_xbox[[#This Row],[EA Play Season Pass]],tbl_apoio5[[EA Play Season Pass]:[output2]],2,FALSE)</f>
        <v>3</v>
      </c>
      <c r="S285" s="41">
        <f>VLOOKUP(tbl_xbox[[#This Row],[Minecraft Season Pass]],tbl_apoio5[[Minecraft Season Pass]:[Minecraft Season Pass2]],2,FALSE)</f>
        <v>6</v>
      </c>
      <c r="T285" s="41">
        <f>SUM(tbl_xbox[[#This Row],[Plan2]:[Minecraft Season Pass2]])</f>
        <v>11</v>
      </c>
      <c r="U285" s="40" t="str">
        <f>VLOOKUP(tbl_xbox[[#This Row],[soma]],tbl_apoio5[[#All],[soma]:[output2]],2,FALSE)</f>
        <v>EA Play + Minecraft</v>
      </c>
      <c r="V285" s="7"/>
    </row>
    <row r="286" spans="1:22" ht="16.5" customHeight="1" x14ac:dyDescent="0.2">
      <c r="A286" s="4">
        <v>3515</v>
      </c>
      <c r="B286" s="4" t="s">
        <v>151</v>
      </c>
      <c r="C286" s="4" t="s">
        <v>18</v>
      </c>
      <c r="D286" s="6">
        <v>45632</v>
      </c>
      <c r="E286" s="4" t="s">
        <v>15</v>
      </c>
      <c r="F286" s="7">
        <v>10</v>
      </c>
      <c r="G286" s="4" t="s">
        <v>12</v>
      </c>
      <c r="H286" s="4" t="s">
        <v>15</v>
      </c>
      <c r="I286" s="7">
        <v>0</v>
      </c>
      <c r="J286" s="4" t="s">
        <v>11</v>
      </c>
      <c r="K286" s="7">
        <v>20</v>
      </c>
      <c r="L286" s="7">
        <v>10</v>
      </c>
      <c r="M286" s="7">
        <v>20</v>
      </c>
      <c r="N286" s="40" t="str">
        <f>IF(tbl_xbox[[#This Row],[Coupon Value]]=$L$3,"No","Yes")</f>
        <v>Yes</v>
      </c>
      <c r="O286" s="40" t="str">
        <f>IF(OR(tbl_xbox[[#This Row],[EA Play Season Pass]]="Yes",tbl_xbox[[#This Row],[Minecraft Season Pass]]="Yes"),"Yes","No")</f>
        <v>Yes</v>
      </c>
      <c r="P286" s="40">
        <f>tbl_xbox[[#This Row],[Subscription Price]]+tbl_xbox[[#This Row],[EA Play Season Pass
Price]]+tbl_xbox[[#This Row],[Minecraft Season Pass Price]]</f>
        <v>30</v>
      </c>
      <c r="Q286" s="41">
        <f>VLOOKUP(tbl_xbox[[#This Row],[Plan]],tbl_apoio5[#All],2,FALSE)</f>
        <v>1</v>
      </c>
      <c r="R286" s="41">
        <f>VLOOKUP(tbl_xbox[[#This Row],[EA Play Season Pass]],tbl_apoio5[[EA Play Season Pass]:[output2]],2,FALSE)</f>
        <v>0</v>
      </c>
      <c r="S286" s="41">
        <f>VLOOKUP(tbl_xbox[[#This Row],[Minecraft Season Pass]],tbl_apoio5[[Minecraft Season Pass]:[Minecraft Season Pass2]],2,FALSE)</f>
        <v>6</v>
      </c>
      <c r="T286" s="41">
        <f>SUM(tbl_xbox[[#This Row],[Plan2]:[Minecraft Season Pass2]])</f>
        <v>7</v>
      </c>
      <c r="U286" s="40" t="str">
        <f>VLOOKUP(tbl_xbox[[#This Row],[soma]],tbl_apoio5[[#All],[soma]:[output2]],2,FALSE)</f>
        <v>Minecraft</v>
      </c>
      <c r="V286" s="7"/>
    </row>
    <row r="287" spans="1:22" ht="16.5" customHeight="1" x14ac:dyDescent="0.2">
      <c r="A287" s="4">
        <v>3516</v>
      </c>
      <c r="B287" s="4" t="s">
        <v>152</v>
      </c>
      <c r="C287" s="4" t="s">
        <v>14</v>
      </c>
      <c r="D287" s="6">
        <v>45633</v>
      </c>
      <c r="E287" s="4" t="s">
        <v>11</v>
      </c>
      <c r="F287" s="7">
        <v>5</v>
      </c>
      <c r="G287" s="4" t="s">
        <v>16</v>
      </c>
      <c r="H287" s="4" t="s">
        <v>15</v>
      </c>
      <c r="I287" s="7">
        <v>0</v>
      </c>
      <c r="J287" s="4" t="s">
        <v>15</v>
      </c>
      <c r="K287" s="7">
        <v>0</v>
      </c>
      <c r="L287" s="7">
        <v>0</v>
      </c>
      <c r="M287" s="7">
        <v>5</v>
      </c>
      <c r="N287" s="40" t="str">
        <f>IF(tbl_xbox[[#This Row],[Coupon Value]]=$L$3,"No","Yes")</f>
        <v>No</v>
      </c>
      <c r="O287" s="40" t="str">
        <f>IF(OR(tbl_xbox[[#This Row],[EA Play Season Pass]]="Yes",tbl_xbox[[#This Row],[Minecraft Season Pass]]="Yes"),"Yes","No")</f>
        <v>No</v>
      </c>
      <c r="P287" s="40">
        <f>tbl_xbox[[#This Row],[Subscription Price]]+tbl_xbox[[#This Row],[EA Play Season Pass
Price]]+tbl_xbox[[#This Row],[Minecraft Season Pass Price]]</f>
        <v>5</v>
      </c>
      <c r="Q287" s="41">
        <f>VLOOKUP(tbl_xbox[[#This Row],[Plan]],tbl_apoio5[#All],2,FALSE)</f>
        <v>0</v>
      </c>
      <c r="R287" s="41">
        <f>VLOOKUP(tbl_xbox[[#This Row],[EA Play Season Pass]],tbl_apoio5[[EA Play Season Pass]:[output2]],2,FALSE)</f>
        <v>0</v>
      </c>
      <c r="S287" s="41">
        <f>VLOOKUP(tbl_xbox[[#This Row],[Minecraft Season Pass]],tbl_apoio5[[Minecraft Season Pass]:[Minecraft Season Pass2]],2,FALSE)</f>
        <v>0</v>
      </c>
      <c r="T287" s="41">
        <f>SUM(tbl_xbox[[#This Row],[Plan2]:[Minecraft Season Pass2]])</f>
        <v>0</v>
      </c>
      <c r="U287" s="40" t="str">
        <f>VLOOKUP(tbl_xbox[[#This Row],[soma]],tbl_apoio5[[#All],[soma]:[output2]],2,FALSE)</f>
        <v>No Extras</v>
      </c>
      <c r="V287" s="7"/>
    </row>
    <row r="288" spans="1:22" ht="16.5" customHeight="1" x14ac:dyDescent="0.2">
      <c r="A288" s="4">
        <v>3517</v>
      </c>
      <c r="B288" s="4" t="s">
        <v>202</v>
      </c>
      <c r="C288" s="4" t="s">
        <v>10</v>
      </c>
      <c r="D288" s="6">
        <v>45634</v>
      </c>
      <c r="E288" s="4" t="s">
        <v>15</v>
      </c>
      <c r="F288" s="7">
        <v>15</v>
      </c>
      <c r="G288" s="4" t="s">
        <v>12</v>
      </c>
      <c r="H288" s="4" t="s">
        <v>11</v>
      </c>
      <c r="I288" s="7">
        <v>30</v>
      </c>
      <c r="J288" s="4" t="s">
        <v>11</v>
      </c>
      <c r="K288" s="7">
        <v>20</v>
      </c>
      <c r="L288" s="7">
        <v>20</v>
      </c>
      <c r="M288" s="7">
        <v>45</v>
      </c>
      <c r="N288" s="40" t="str">
        <f>IF(tbl_xbox[[#This Row],[Coupon Value]]=$L$3,"No","Yes")</f>
        <v>Yes</v>
      </c>
      <c r="O288" s="40" t="str">
        <f>IF(OR(tbl_xbox[[#This Row],[EA Play Season Pass]]="Yes",tbl_xbox[[#This Row],[Minecraft Season Pass]]="Yes"),"Yes","No")</f>
        <v>Yes</v>
      </c>
      <c r="P288" s="40">
        <f>tbl_xbox[[#This Row],[Subscription Price]]+tbl_xbox[[#This Row],[EA Play Season Pass
Price]]+tbl_xbox[[#This Row],[Minecraft Season Pass Price]]</f>
        <v>65</v>
      </c>
      <c r="Q288" s="41">
        <f>VLOOKUP(tbl_xbox[[#This Row],[Plan]],tbl_apoio5[#All],2,FALSE)</f>
        <v>2</v>
      </c>
      <c r="R288" s="41">
        <f>VLOOKUP(tbl_xbox[[#This Row],[EA Play Season Pass]],tbl_apoio5[[EA Play Season Pass]:[output2]],2,FALSE)</f>
        <v>3</v>
      </c>
      <c r="S288" s="41">
        <f>VLOOKUP(tbl_xbox[[#This Row],[Minecraft Season Pass]],tbl_apoio5[[Minecraft Season Pass]:[Minecraft Season Pass2]],2,FALSE)</f>
        <v>6</v>
      </c>
      <c r="T288" s="41">
        <f>SUM(tbl_xbox[[#This Row],[Plan2]:[Minecraft Season Pass2]])</f>
        <v>11</v>
      </c>
      <c r="U288" s="40" t="str">
        <f>VLOOKUP(tbl_xbox[[#This Row],[soma]],tbl_apoio5[[#All],[soma]:[output2]],2,FALSE)</f>
        <v>EA Play + Minecraft</v>
      </c>
      <c r="V288" s="7"/>
    </row>
    <row r="289" spans="1:22" ht="16.5" customHeight="1" x14ac:dyDescent="0.2">
      <c r="A289" s="4">
        <v>3518</v>
      </c>
      <c r="B289" s="4" t="s">
        <v>293</v>
      </c>
      <c r="C289" s="4" t="s">
        <v>18</v>
      </c>
      <c r="D289" s="6">
        <v>45635</v>
      </c>
      <c r="E289" s="4" t="s">
        <v>11</v>
      </c>
      <c r="F289" s="7">
        <v>10</v>
      </c>
      <c r="G289" s="4" t="s">
        <v>19</v>
      </c>
      <c r="H289" s="4" t="s">
        <v>15</v>
      </c>
      <c r="I289" s="7">
        <v>0</v>
      </c>
      <c r="J289" s="4" t="s">
        <v>11</v>
      </c>
      <c r="K289" s="7">
        <v>20</v>
      </c>
      <c r="L289" s="7">
        <v>12</v>
      </c>
      <c r="M289" s="7">
        <v>18</v>
      </c>
      <c r="N289" s="40" t="str">
        <f>IF(tbl_xbox[[#This Row],[Coupon Value]]=$L$3,"No","Yes")</f>
        <v>Yes</v>
      </c>
      <c r="O289" s="40" t="str">
        <f>IF(OR(tbl_xbox[[#This Row],[EA Play Season Pass]]="Yes",tbl_xbox[[#This Row],[Minecraft Season Pass]]="Yes"),"Yes","No")</f>
        <v>Yes</v>
      </c>
      <c r="P289" s="40">
        <f>tbl_xbox[[#This Row],[Subscription Price]]+tbl_xbox[[#This Row],[EA Play Season Pass
Price]]+tbl_xbox[[#This Row],[Minecraft Season Pass Price]]</f>
        <v>30</v>
      </c>
      <c r="Q289" s="41">
        <f>VLOOKUP(tbl_xbox[[#This Row],[Plan]],tbl_apoio5[#All],2,FALSE)</f>
        <v>1</v>
      </c>
      <c r="R289" s="41">
        <f>VLOOKUP(tbl_xbox[[#This Row],[EA Play Season Pass]],tbl_apoio5[[EA Play Season Pass]:[output2]],2,FALSE)</f>
        <v>0</v>
      </c>
      <c r="S289" s="41">
        <f>VLOOKUP(tbl_xbox[[#This Row],[Minecraft Season Pass]],tbl_apoio5[[Minecraft Season Pass]:[Minecraft Season Pass2]],2,FALSE)</f>
        <v>6</v>
      </c>
      <c r="T289" s="41">
        <f>SUM(tbl_xbox[[#This Row],[Plan2]:[Minecraft Season Pass2]])</f>
        <v>7</v>
      </c>
      <c r="U289" s="40" t="str">
        <f>VLOOKUP(tbl_xbox[[#This Row],[soma]],tbl_apoio5[[#All],[soma]:[output2]],2,FALSE)</f>
        <v>Minecraft</v>
      </c>
      <c r="V289" s="7"/>
    </row>
    <row r="290" spans="1:22" ht="16.5" customHeight="1" x14ac:dyDescent="0.2">
      <c r="A290" s="4">
        <v>3519</v>
      </c>
      <c r="B290" s="4" t="s">
        <v>294</v>
      </c>
      <c r="C290" s="4" t="s">
        <v>14</v>
      </c>
      <c r="D290" s="6">
        <v>45636</v>
      </c>
      <c r="E290" s="4" t="s">
        <v>15</v>
      </c>
      <c r="F290" s="7">
        <v>5</v>
      </c>
      <c r="G290" s="4" t="s">
        <v>12</v>
      </c>
      <c r="H290" s="4" t="s">
        <v>15</v>
      </c>
      <c r="I290" s="7">
        <v>0</v>
      </c>
      <c r="J290" s="4" t="s">
        <v>15</v>
      </c>
      <c r="K290" s="7">
        <v>0</v>
      </c>
      <c r="L290" s="7">
        <v>2</v>
      </c>
      <c r="M290" s="7">
        <v>3</v>
      </c>
      <c r="N290" s="40" t="str">
        <f>IF(tbl_xbox[[#This Row],[Coupon Value]]=$L$3,"No","Yes")</f>
        <v>Yes</v>
      </c>
      <c r="O290" s="40" t="str">
        <f>IF(OR(tbl_xbox[[#This Row],[EA Play Season Pass]]="Yes",tbl_xbox[[#This Row],[Minecraft Season Pass]]="Yes"),"Yes","No")</f>
        <v>No</v>
      </c>
      <c r="P290" s="40">
        <f>tbl_xbox[[#This Row],[Subscription Price]]+tbl_xbox[[#This Row],[EA Play Season Pass
Price]]+tbl_xbox[[#This Row],[Minecraft Season Pass Price]]</f>
        <v>5</v>
      </c>
      <c r="Q290" s="41">
        <f>VLOOKUP(tbl_xbox[[#This Row],[Plan]],tbl_apoio5[#All],2,FALSE)</f>
        <v>0</v>
      </c>
      <c r="R290" s="41">
        <f>VLOOKUP(tbl_xbox[[#This Row],[EA Play Season Pass]],tbl_apoio5[[EA Play Season Pass]:[output2]],2,FALSE)</f>
        <v>0</v>
      </c>
      <c r="S290" s="41">
        <f>VLOOKUP(tbl_xbox[[#This Row],[Minecraft Season Pass]],tbl_apoio5[[Minecraft Season Pass]:[Minecraft Season Pass2]],2,FALSE)</f>
        <v>0</v>
      </c>
      <c r="T290" s="41">
        <f>SUM(tbl_xbox[[#This Row],[Plan2]:[Minecraft Season Pass2]])</f>
        <v>0</v>
      </c>
      <c r="U290" s="40" t="str">
        <f>VLOOKUP(tbl_xbox[[#This Row],[soma]],tbl_apoio5[[#All],[soma]:[output2]],2,FALSE)</f>
        <v>No Extras</v>
      </c>
      <c r="V290" s="7"/>
    </row>
    <row r="291" spans="1:22" ht="16.5" customHeight="1" x14ac:dyDescent="0.2">
      <c r="A291" s="4">
        <v>3520</v>
      </c>
      <c r="B291" s="4" t="s">
        <v>295</v>
      </c>
      <c r="C291" s="4" t="s">
        <v>10</v>
      </c>
      <c r="D291" s="6">
        <v>45637</v>
      </c>
      <c r="E291" s="4" t="s">
        <v>11</v>
      </c>
      <c r="F291" s="7">
        <v>15</v>
      </c>
      <c r="G291" s="4" t="s">
        <v>16</v>
      </c>
      <c r="H291" s="4" t="s">
        <v>11</v>
      </c>
      <c r="I291" s="7">
        <v>30</v>
      </c>
      <c r="J291" s="4" t="s">
        <v>11</v>
      </c>
      <c r="K291" s="7">
        <v>20</v>
      </c>
      <c r="L291" s="7">
        <v>5</v>
      </c>
      <c r="M291" s="7">
        <v>60</v>
      </c>
      <c r="N291" s="40" t="str">
        <f>IF(tbl_xbox[[#This Row],[Coupon Value]]=$L$3,"No","Yes")</f>
        <v>Yes</v>
      </c>
      <c r="O291" s="40" t="str">
        <f>IF(OR(tbl_xbox[[#This Row],[EA Play Season Pass]]="Yes",tbl_xbox[[#This Row],[Minecraft Season Pass]]="Yes"),"Yes","No")</f>
        <v>Yes</v>
      </c>
      <c r="P291" s="40">
        <f>tbl_xbox[[#This Row],[Subscription Price]]+tbl_xbox[[#This Row],[EA Play Season Pass
Price]]+tbl_xbox[[#This Row],[Minecraft Season Pass Price]]</f>
        <v>65</v>
      </c>
      <c r="Q291" s="41">
        <f>VLOOKUP(tbl_xbox[[#This Row],[Plan]],tbl_apoio5[#All],2,FALSE)</f>
        <v>2</v>
      </c>
      <c r="R291" s="41">
        <f>VLOOKUP(tbl_xbox[[#This Row],[EA Play Season Pass]],tbl_apoio5[[EA Play Season Pass]:[output2]],2,FALSE)</f>
        <v>3</v>
      </c>
      <c r="S291" s="41">
        <f>VLOOKUP(tbl_xbox[[#This Row],[Minecraft Season Pass]],tbl_apoio5[[Minecraft Season Pass]:[Minecraft Season Pass2]],2,FALSE)</f>
        <v>6</v>
      </c>
      <c r="T291" s="41">
        <f>SUM(tbl_xbox[[#This Row],[Plan2]:[Minecraft Season Pass2]])</f>
        <v>11</v>
      </c>
      <c r="U291" s="40" t="str">
        <f>VLOOKUP(tbl_xbox[[#This Row],[soma]],tbl_apoio5[[#All],[soma]:[output2]],2,FALSE)</f>
        <v>EA Play + Minecraft</v>
      </c>
      <c r="V291" s="7"/>
    </row>
    <row r="292" spans="1:22" ht="16.5" customHeight="1" x14ac:dyDescent="0.2">
      <c r="A292" s="4">
        <v>3521</v>
      </c>
      <c r="B292" s="4" t="s">
        <v>296</v>
      </c>
      <c r="C292" s="4" t="s">
        <v>18</v>
      </c>
      <c r="D292" s="6">
        <v>45638</v>
      </c>
      <c r="E292" s="4" t="s">
        <v>15</v>
      </c>
      <c r="F292" s="7">
        <v>10</v>
      </c>
      <c r="G292" s="4" t="s">
        <v>12</v>
      </c>
      <c r="H292" s="4" t="s">
        <v>15</v>
      </c>
      <c r="I292" s="7">
        <v>0</v>
      </c>
      <c r="J292" s="4" t="s">
        <v>11</v>
      </c>
      <c r="K292" s="7">
        <v>20</v>
      </c>
      <c r="L292" s="7">
        <v>10</v>
      </c>
      <c r="M292" s="7">
        <v>20</v>
      </c>
      <c r="N292" s="40" t="str">
        <f>IF(tbl_xbox[[#This Row],[Coupon Value]]=$L$3,"No","Yes")</f>
        <v>Yes</v>
      </c>
      <c r="O292" s="40" t="str">
        <f>IF(OR(tbl_xbox[[#This Row],[EA Play Season Pass]]="Yes",tbl_xbox[[#This Row],[Minecraft Season Pass]]="Yes"),"Yes","No")</f>
        <v>Yes</v>
      </c>
      <c r="P292" s="40">
        <f>tbl_xbox[[#This Row],[Subscription Price]]+tbl_xbox[[#This Row],[EA Play Season Pass
Price]]+tbl_xbox[[#This Row],[Minecraft Season Pass Price]]</f>
        <v>30</v>
      </c>
      <c r="Q292" s="41">
        <f>VLOOKUP(tbl_xbox[[#This Row],[Plan]],tbl_apoio5[#All],2,FALSE)</f>
        <v>1</v>
      </c>
      <c r="R292" s="41">
        <f>VLOOKUP(tbl_xbox[[#This Row],[EA Play Season Pass]],tbl_apoio5[[EA Play Season Pass]:[output2]],2,FALSE)</f>
        <v>0</v>
      </c>
      <c r="S292" s="41">
        <f>VLOOKUP(tbl_xbox[[#This Row],[Minecraft Season Pass]],tbl_apoio5[[Minecraft Season Pass]:[Minecraft Season Pass2]],2,FALSE)</f>
        <v>6</v>
      </c>
      <c r="T292" s="41">
        <f>SUM(tbl_xbox[[#This Row],[Plan2]:[Minecraft Season Pass2]])</f>
        <v>7</v>
      </c>
      <c r="U292" s="40" t="str">
        <f>VLOOKUP(tbl_xbox[[#This Row],[soma]],tbl_apoio5[[#All],[soma]:[output2]],2,FALSE)</f>
        <v>Minecraft</v>
      </c>
      <c r="V292" s="7"/>
    </row>
    <row r="293" spans="1:22" ht="16.5" customHeight="1" x14ac:dyDescent="0.2">
      <c r="A293" s="4">
        <v>3522</v>
      </c>
      <c r="B293" s="4" t="s">
        <v>297</v>
      </c>
      <c r="C293" s="4" t="s">
        <v>14</v>
      </c>
      <c r="D293" s="6">
        <v>45639</v>
      </c>
      <c r="E293" s="4" t="s">
        <v>11</v>
      </c>
      <c r="F293" s="7">
        <v>5</v>
      </c>
      <c r="G293" s="4" t="s">
        <v>19</v>
      </c>
      <c r="H293" s="4" t="s">
        <v>15</v>
      </c>
      <c r="I293" s="7">
        <v>0</v>
      </c>
      <c r="J293" s="4" t="s">
        <v>15</v>
      </c>
      <c r="K293" s="7">
        <v>0</v>
      </c>
      <c r="L293" s="7">
        <v>0</v>
      </c>
      <c r="M293" s="7">
        <v>5</v>
      </c>
      <c r="N293" s="40" t="str">
        <f>IF(tbl_xbox[[#This Row],[Coupon Value]]=$L$3,"No","Yes")</f>
        <v>No</v>
      </c>
      <c r="O293" s="40" t="str">
        <f>IF(OR(tbl_xbox[[#This Row],[EA Play Season Pass]]="Yes",tbl_xbox[[#This Row],[Minecraft Season Pass]]="Yes"),"Yes","No")</f>
        <v>No</v>
      </c>
      <c r="P293" s="40">
        <f>tbl_xbox[[#This Row],[Subscription Price]]+tbl_xbox[[#This Row],[EA Play Season Pass
Price]]+tbl_xbox[[#This Row],[Minecraft Season Pass Price]]</f>
        <v>5</v>
      </c>
      <c r="Q293" s="41">
        <f>VLOOKUP(tbl_xbox[[#This Row],[Plan]],tbl_apoio5[#All],2,FALSE)</f>
        <v>0</v>
      </c>
      <c r="R293" s="41">
        <f>VLOOKUP(tbl_xbox[[#This Row],[EA Play Season Pass]],tbl_apoio5[[EA Play Season Pass]:[output2]],2,FALSE)</f>
        <v>0</v>
      </c>
      <c r="S293" s="41">
        <f>VLOOKUP(tbl_xbox[[#This Row],[Minecraft Season Pass]],tbl_apoio5[[Minecraft Season Pass]:[Minecraft Season Pass2]],2,FALSE)</f>
        <v>0</v>
      </c>
      <c r="T293" s="41">
        <f>SUM(tbl_xbox[[#This Row],[Plan2]:[Minecraft Season Pass2]])</f>
        <v>0</v>
      </c>
      <c r="U293" s="40" t="str">
        <f>VLOOKUP(tbl_xbox[[#This Row],[soma]],tbl_apoio5[[#All],[soma]:[output2]],2,FALSE)</f>
        <v>No Extras</v>
      </c>
      <c r="V293" s="7"/>
    </row>
    <row r="294" spans="1:22" ht="16.5" customHeight="1" x14ac:dyDescent="0.2">
      <c r="A294" s="4">
        <v>3523</v>
      </c>
      <c r="B294" s="4" t="s">
        <v>298</v>
      </c>
      <c r="C294" s="4" t="s">
        <v>10</v>
      </c>
      <c r="D294" s="6">
        <v>45640</v>
      </c>
      <c r="E294" s="4" t="s">
        <v>15</v>
      </c>
      <c r="F294" s="7">
        <v>15</v>
      </c>
      <c r="G294" s="4" t="s">
        <v>12</v>
      </c>
      <c r="H294" s="4" t="s">
        <v>11</v>
      </c>
      <c r="I294" s="7">
        <v>30</v>
      </c>
      <c r="J294" s="4" t="s">
        <v>11</v>
      </c>
      <c r="K294" s="7">
        <v>20</v>
      </c>
      <c r="L294" s="7">
        <v>3</v>
      </c>
      <c r="M294" s="7">
        <v>62</v>
      </c>
      <c r="N294" s="40" t="str">
        <f>IF(tbl_xbox[[#This Row],[Coupon Value]]=$L$3,"No","Yes")</f>
        <v>Yes</v>
      </c>
      <c r="O294" s="40" t="str">
        <f>IF(OR(tbl_xbox[[#This Row],[EA Play Season Pass]]="Yes",tbl_xbox[[#This Row],[Minecraft Season Pass]]="Yes"),"Yes","No")</f>
        <v>Yes</v>
      </c>
      <c r="P294" s="40">
        <f>tbl_xbox[[#This Row],[Subscription Price]]+tbl_xbox[[#This Row],[EA Play Season Pass
Price]]+tbl_xbox[[#This Row],[Minecraft Season Pass Price]]</f>
        <v>65</v>
      </c>
      <c r="Q294" s="41">
        <f>VLOOKUP(tbl_xbox[[#This Row],[Plan]],tbl_apoio5[#All],2,FALSE)</f>
        <v>2</v>
      </c>
      <c r="R294" s="41">
        <f>VLOOKUP(tbl_xbox[[#This Row],[EA Play Season Pass]],tbl_apoio5[[EA Play Season Pass]:[output2]],2,FALSE)</f>
        <v>3</v>
      </c>
      <c r="S294" s="41">
        <f>VLOOKUP(tbl_xbox[[#This Row],[Minecraft Season Pass]],tbl_apoio5[[Minecraft Season Pass]:[Minecraft Season Pass2]],2,FALSE)</f>
        <v>6</v>
      </c>
      <c r="T294" s="41">
        <f>SUM(tbl_xbox[[#This Row],[Plan2]:[Minecraft Season Pass2]])</f>
        <v>11</v>
      </c>
      <c r="U294" s="40" t="str">
        <f>VLOOKUP(tbl_xbox[[#This Row],[soma]],tbl_apoio5[[#All],[soma]:[output2]],2,FALSE)</f>
        <v>EA Play + Minecraft</v>
      </c>
      <c r="V294" s="7"/>
    </row>
    <row r="295" spans="1:22" ht="16.5" customHeight="1" x14ac:dyDescent="0.2">
      <c r="A295" s="4">
        <v>3524</v>
      </c>
      <c r="B295" s="4" t="s">
        <v>299</v>
      </c>
      <c r="C295" s="4" t="s">
        <v>18</v>
      </c>
      <c r="D295" s="6">
        <v>45641</v>
      </c>
      <c r="E295" s="4" t="s">
        <v>11</v>
      </c>
      <c r="F295" s="7">
        <v>10</v>
      </c>
      <c r="G295" s="4" t="s">
        <v>16</v>
      </c>
      <c r="H295" s="4" t="s">
        <v>15</v>
      </c>
      <c r="I295" s="7">
        <v>0</v>
      </c>
      <c r="J295" s="4" t="s">
        <v>11</v>
      </c>
      <c r="K295" s="7">
        <v>20</v>
      </c>
      <c r="L295" s="7">
        <v>15</v>
      </c>
      <c r="M295" s="7">
        <v>15</v>
      </c>
      <c r="N295" s="40" t="str">
        <f>IF(tbl_xbox[[#This Row],[Coupon Value]]=$L$3,"No","Yes")</f>
        <v>Yes</v>
      </c>
      <c r="O295" s="40" t="str">
        <f>IF(OR(tbl_xbox[[#This Row],[EA Play Season Pass]]="Yes",tbl_xbox[[#This Row],[Minecraft Season Pass]]="Yes"),"Yes","No")</f>
        <v>Yes</v>
      </c>
      <c r="P295" s="40">
        <f>tbl_xbox[[#This Row],[Subscription Price]]+tbl_xbox[[#This Row],[EA Play Season Pass
Price]]+tbl_xbox[[#This Row],[Minecraft Season Pass Price]]</f>
        <v>30</v>
      </c>
      <c r="Q295" s="41">
        <f>VLOOKUP(tbl_xbox[[#This Row],[Plan]],tbl_apoio5[#All],2,FALSE)</f>
        <v>1</v>
      </c>
      <c r="R295" s="41">
        <f>VLOOKUP(tbl_xbox[[#This Row],[EA Play Season Pass]],tbl_apoio5[[EA Play Season Pass]:[output2]],2,FALSE)</f>
        <v>0</v>
      </c>
      <c r="S295" s="41">
        <f>VLOOKUP(tbl_xbox[[#This Row],[Minecraft Season Pass]],tbl_apoio5[[Minecraft Season Pass]:[Minecraft Season Pass2]],2,FALSE)</f>
        <v>6</v>
      </c>
      <c r="T295" s="41">
        <f>SUM(tbl_xbox[[#This Row],[Plan2]:[Minecraft Season Pass2]])</f>
        <v>7</v>
      </c>
      <c r="U295" s="40" t="str">
        <f>VLOOKUP(tbl_xbox[[#This Row],[soma]],tbl_apoio5[[#All],[soma]:[output2]],2,FALSE)</f>
        <v>Minecraft</v>
      </c>
      <c r="V295" s="7"/>
    </row>
    <row r="296" spans="1:22" ht="16.5" customHeight="1" x14ac:dyDescent="0.2">
      <c r="A296" s="4">
        <v>3525</v>
      </c>
      <c r="B296" s="4" t="s">
        <v>300</v>
      </c>
      <c r="C296" s="4" t="s">
        <v>14</v>
      </c>
      <c r="D296" s="6">
        <v>45642</v>
      </c>
      <c r="E296" s="4" t="s">
        <v>15</v>
      </c>
      <c r="F296" s="7">
        <v>5</v>
      </c>
      <c r="G296" s="4" t="s">
        <v>12</v>
      </c>
      <c r="H296" s="4" t="s">
        <v>15</v>
      </c>
      <c r="I296" s="7">
        <v>0</v>
      </c>
      <c r="J296" s="4" t="s">
        <v>15</v>
      </c>
      <c r="K296" s="7">
        <v>0</v>
      </c>
      <c r="L296" s="7">
        <v>1</v>
      </c>
      <c r="M296" s="7">
        <v>4</v>
      </c>
      <c r="N296" s="40" t="str">
        <f>IF(tbl_xbox[[#This Row],[Coupon Value]]=$L$3,"No","Yes")</f>
        <v>Yes</v>
      </c>
      <c r="O296" s="40" t="str">
        <f>IF(OR(tbl_xbox[[#This Row],[EA Play Season Pass]]="Yes",tbl_xbox[[#This Row],[Minecraft Season Pass]]="Yes"),"Yes","No")</f>
        <v>No</v>
      </c>
      <c r="P296" s="40">
        <f>tbl_xbox[[#This Row],[Subscription Price]]+tbl_xbox[[#This Row],[EA Play Season Pass
Price]]+tbl_xbox[[#This Row],[Minecraft Season Pass Price]]</f>
        <v>5</v>
      </c>
      <c r="Q296" s="41">
        <f>VLOOKUP(tbl_xbox[[#This Row],[Plan]],tbl_apoio5[#All],2,FALSE)</f>
        <v>0</v>
      </c>
      <c r="R296" s="41">
        <f>VLOOKUP(tbl_xbox[[#This Row],[EA Play Season Pass]],tbl_apoio5[[EA Play Season Pass]:[output2]],2,FALSE)</f>
        <v>0</v>
      </c>
      <c r="S296" s="41">
        <f>VLOOKUP(tbl_xbox[[#This Row],[Minecraft Season Pass]],tbl_apoio5[[Minecraft Season Pass]:[Minecraft Season Pass2]],2,FALSE)</f>
        <v>0</v>
      </c>
      <c r="T296" s="41">
        <f>SUM(tbl_xbox[[#This Row],[Plan2]:[Minecraft Season Pass2]])</f>
        <v>0</v>
      </c>
      <c r="U296" s="40" t="str">
        <f>VLOOKUP(tbl_xbox[[#This Row],[soma]],tbl_apoio5[[#All],[soma]:[output2]],2,FALSE)</f>
        <v>No Extras</v>
      </c>
      <c r="V296" s="7"/>
    </row>
    <row r="297" spans="1:22" ht="16" x14ac:dyDescent="0.2">
      <c r="A297" s="4">
        <v>3526</v>
      </c>
      <c r="B297" s="4" t="s">
        <v>298</v>
      </c>
      <c r="C297" s="4" t="s">
        <v>10</v>
      </c>
      <c r="D297" s="6">
        <v>45643</v>
      </c>
      <c r="E297" s="4" t="s">
        <v>15</v>
      </c>
      <c r="F297" s="7">
        <v>0</v>
      </c>
      <c r="G297" s="4" t="s">
        <v>12</v>
      </c>
      <c r="H297" s="4" t="s">
        <v>11</v>
      </c>
      <c r="I297" s="7">
        <v>-20</v>
      </c>
      <c r="J297" s="4" t="s">
        <v>11</v>
      </c>
      <c r="K297" s="7">
        <v>-6.6666666666666599</v>
      </c>
      <c r="L297" s="7">
        <v>4.3333333333333401</v>
      </c>
      <c r="M297" s="7">
        <v>-31</v>
      </c>
      <c r="N297" s="43" t="str">
        <f>IF(tbl_xbox[[#This Row],[Coupon Value]]=$L$3,"No","Yes")</f>
        <v>Yes</v>
      </c>
      <c r="O297" s="43" t="str">
        <f>IF(OR(tbl_xbox[[#This Row],[EA Play Season Pass]]="Yes",tbl_xbox[[#This Row],[Minecraft Season Pass]]="Yes"),"Yes","No")</f>
        <v>Yes</v>
      </c>
      <c r="P297" s="43">
        <f>tbl_xbox[[#This Row],[Subscription Price]]+tbl_xbox[[#This Row],[EA Play Season Pass
Price]]+tbl_xbox[[#This Row],[Minecraft Season Pass Price]]</f>
        <v>-26.666666666666661</v>
      </c>
      <c r="Q297" s="44">
        <f>VLOOKUP(tbl_xbox[[#This Row],[Plan]],tbl_apoio5[#All],2,FALSE)</f>
        <v>2</v>
      </c>
      <c r="R297" s="44">
        <f>VLOOKUP(tbl_xbox[[#This Row],[EA Play Season Pass]],tbl_apoio5[[EA Play Season Pass]:[output2]],2,FALSE)</f>
        <v>3</v>
      </c>
      <c r="S297" s="44">
        <f>VLOOKUP(tbl_xbox[[#This Row],[Minecraft Season Pass]],tbl_apoio5[[Minecraft Season Pass]:[Minecraft Season Pass2]],2,FALSE)</f>
        <v>6</v>
      </c>
      <c r="T297" s="45">
        <f>SUM(tbl_xbox[[#This Row],[Plan2]:[Minecraft Season Pass2]])</f>
        <v>11</v>
      </c>
      <c r="U297" s="43" t="str">
        <f>VLOOKUP(tbl_xbox[[#This Row],[soma]],tbl_apoio5[[#All],[soma]:[output2]],2,FALSE)</f>
        <v>EA Play + Minecraft</v>
      </c>
    </row>
  </sheetData>
  <phoneticPr fontId="5" type="noConversion"/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5:N67"/>
  <sheetViews>
    <sheetView showGridLines="0" topLeftCell="A31" zoomScale="132" zoomScaleNormal="132" workbookViewId="0">
      <selection activeCell="H50" sqref="H50"/>
    </sheetView>
  </sheetViews>
  <sheetFormatPr baseColWidth="10" defaultColWidth="8.83203125" defaultRowHeight="15" x14ac:dyDescent="0.2"/>
  <cols>
    <col min="2" max="2" width="16.5" bestFit="1" customWidth="1"/>
    <col min="3" max="3" width="28.1640625" bestFit="1" customWidth="1"/>
    <col min="4" max="4" width="28.5" bestFit="1" customWidth="1"/>
    <col min="5" max="5" width="17" bestFit="1" customWidth="1"/>
    <col min="6" max="6" width="9.5" bestFit="1" customWidth="1"/>
    <col min="7" max="7" width="8.1640625" bestFit="1" customWidth="1"/>
    <col min="8" max="8" width="9.5" bestFit="1" customWidth="1"/>
    <col min="9" max="9" width="21.33203125" bestFit="1" customWidth="1"/>
    <col min="10" max="10" width="19.33203125" bestFit="1" customWidth="1"/>
    <col min="11" max="11" width="17" bestFit="1" customWidth="1"/>
    <col min="12" max="12" width="15.33203125" bestFit="1" customWidth="1"/>
    <col min="13" max="13" width="22.83203125" bestFit="1" customWidth="1"/>
    <col min="14" max="15" width="19.33203125" bestFit="1" customWidth="1"/>
    <col min="16" max="16" width="19.83203125" bestFit="1" customWidth="1"/>
    <col min="17" max="17" width="21.33203125" bestFit="1" customWidth="1"/>
    <col min="18" max="18" width="23.6640625" bestFit="1" customWidth="1"/>
    <col min="19" max="19" width="24.1640625" bestFit="1" customWidth="1"/>
    <col min="20" max="21" width="17" bestFit="1" customWidth="1"/>
    <col min="22" max="22" width="22.6640625" bestFit="1" customWidth="1"/>
    <col min="23" max="23" width="24.1640625" bestFit="1" customWidth="1"/>
    <col min="24" max="24" width="19.6640625" bestFit="1" customWidth="1"/>
    <col min="25" max="25" width="21.33203125" bestFit="1" customWidth="1"/>
    <col min="26" max="27" width="9" bestFit="1" customWidth="1"/>
    <col min="28" max="28" width="8" bestFit="1" customWidth="1"/>
    <col min="29" max="30" width="9" bestFit="1" customWidth="1"/>
    <col min="31" max="31" width="8" bestFit="1" customWidth="1"/>
    <col min="32" max="33" width="9" bestFit="1" customWidth="1"/>
    <col min="34" max="34" width="8" bestFit="1" customWidth="1"/>
    <col min="35" max="36" width="9" bestFit="1" customWidth="1"/>
    <col min="37" max="37" width="8" bestFit="1" customWidth="1"/>
    <col min="38" max="39" width="9" bestFit="1" customWidth="1"/>
    <col min="40" max="40" width="7" bestFit="1" customWidth="1"/>
    <col min="41" max="41" width="8" bestFit="1" customWidth="1"/>
    <col min="42" max="42" width="8.1640625" bestFit="1" customWidth="1"/>
    <col min="43" max="43" width="10.5" bestFit="1" customWidth="1"/>
  </cols>
  <sheetData>
    <row r="5" spans="2:12" ht="19" customHeight="1" x14ac:dyDescent="0.2">
      <c r="B5" s="32" t="s">
        <v>305</v>
      </c>
      <c r="C5" s="33"/>
      <c r="D5" s="34"/>
    </row>
    <row r="6" spans="2:12" x14ac:dyDescent="0.2">
      <c r="F6" s="11"/>
    </row>
    <row r="8" spans="2:12" x14ac:dyDescent="0.2">
      <c r="B8" s="21" t="s">
        <v>313</v>
      </c>
      <c r="C8" s="21"/>
      <c r="D8" s="21"/>
      <c r="E8" s="21"/>
      <c r="J8" s="21" t="s">
        <v>337</v>
      </c>
      <c r="K8" s="21"/>
      <c r="L8" s="21"/>
    </row>
    <row r="9" spans="2:12" x14ac:dyDescent="0.2">
      <c r="B9" s="21" t="s">
        <v>306</v>
      </c>
      <c r="C9" s="21"/>
      <c r="D9" s="21"/>
      <c r="E9" s="21"/>
      <c r="J9" s="21" t="s">
        <v>313</v>
      </c>
      <c r="K9" s="21"/>
      <c r="L9" s="21"/>
    </row>
    <row r="11" spans="2:12" x14ac:dyDescent="0.2">
      <c r="B11" s="12" t="s">
        <v>8</v>
      </c>
      <c r="C11" t="s">
        <v>312</v>
      </c>
      <c r="J11" s="12" t="s">
        <v>310</v>
      </c>
      <c r="K11" t="s">
        <v>307</v>
      </c>
    </row>
    <row r="12" spans="2:12" x14ac:dyDescent="0.2">
      <c r="B12" s="12" t="s">
        <v>5</v>
      </c>
      <c r="C12" t="s">
        <v>352</v>
      </c>
      <c r="J12" s="24" t="s">
        <v>329</v>
      </c>
      <c r="K12" s="35">
        <v>60</v>
      </c>
    </row>
    <row r="13" spans="2:12" x14ac:dyDescent="0.2">
      <c r="J13" s="24" t="s">
        <v>353</v>
      </c>
      <c r="K13" s="35">
        <v>62</v>
      </c>
    </row>
    <row r="14" spans="2:12" x14ac:dyDescent="0.2">
      <c r="B14" s="16" t="s">
        <v>310</v>
      </c>
      <c r="C14" t="s">
        <v>307</v>
      </c>
      <c r="J14" s="24" t="s">
        <v>330</v>
      </c>
      <c r="K14" s="35">
        <v>562</v>
      </c>
    </row>
    <row r="15" spans="2:12" x14ac:dyDescent="0.2">
      <c r="B15" s="13" t="s">
        <v>15</v>
      </c>
      <c r="C15" s="15">
        <v>1688</v>
      </c>
      <c r="J15" s="24" t="s">
        <v>331</v>
      </c>
      <c r="K15" s="35">
        <v>545</v>
      </c>
    </row>
    <row r="16" spans="2:12" x14ac:dyDescent="0.2">
      <c r="B16" s="13" t="s">
        <v>11</v>
      </c>
      <c r="C16" s="15">
        <v>1715</v>
      </c>
      <c r="J16" s="24" t="s">
        <v>332</v>
      </c>
      <c r="K16" s="35">
        <v>545</v>
      </c>
    </row>
    <row r="17" spans="2:14" x14ac:dyDescent="0.2">
      <c r="B17" s="13" t="s">
        <v>311</v>
      </c>
      <c r="C17" s="15">
        <v>3403</v>
      </c>
      <c r="D17" s="15">
        <f>GETPIVOTDATA("Total Value",$B$14)</f>
        <v>3403</v>
      </c>
      <c r="J17" s="24" t="s">
        <v>333</v>
      </c>
      <c r="K17" s="35">
        <v>531</v>
      </c>
    </row>
    <row r="18" spans="2:14" x14ac:dyDescent="0.2">
      <c r="J18" s="24" t="s">
        <v>334</v>
      </c>
      <c r="K18" s="35">
        <v>548</v>
      </c>
    </row>
    <row r="19" spans="2:14" x14ac:dyDescent="0.2">
      <c r="B19" s="21" t="s">
        <v>317</v>
      </c>
      <c r="C19" s="21"/>
      <c r="D19" s="21"/>
      <c r="E19" s="21"/>
      <c r="F19" s="21"/>
      <c r="J19" s="24" t="s">
        <v>335</v>
      </c>
      <c r="K19" s="35">
        <v>550</v>
      </c>
    </row>
    <row r="20" spans="2:14" x14ac:dyDescent="0.2">
      <c r="B20" s="22" t="s">
        <v>321</v>
      </c>
      <c r="C20" s="21"/>
      <c r="D20" s="21"/>
      <c r="E20" s="21"/>
      <c r="F20" s="21"/>
      <c r="J20" s="24" t="s">
        <v>311</v>
      </c>
      <c r="K20" s="35">
        <v>3403</v>
      </c>
    </row>
    <row r="21" spans="2:14" x14ac:dyDescent="0.2">
      <c r="B21" s="22" t="s">
        <v>320</v>
      </c>
      <c r="C21" s="21"/>
      <c r="D21" s="21"/>
      <c r="E21" s="21"/>
      <c r="F21" s="21"/>
    </row>
    <row r="23" spans="2:14" x14ac:dyDescent="0.2">
      <c r="B23" s="12" t="s">
        <v>310</v>
      </c>
      <c r="C23" t="s">
        <v>315</v>
      </c>
      <c r="D23" t="s">
        <v>308</v>
      </c>
      <c r="E23" t="s">
        <v>307</v>
      </c>
      <c r="L23" s="15">
        <f>GETPIVOTDATA("Total Value",$J$11)</f>
        <v>3403</v>
      </c>
    </row>
    <row r="24" spans="2:14" x14ac:dyDescent="0.2">
      <c r="B24" s="13" t="s">
        <v>11</v>
      </c>
      <c r="C24" s="35">
        <v>62</v>
      </c>
      <c r="D24" s="15">
        <v>1240</v>
      </c>
      <c r="E24" s="15">
        <v>3403</v>
      </c>
      <c r="F24" s="17">
        <f>IFERROR(GETPIVOTDATA("Soma de Minecraft Season Pass Price",$B$23),0)</f>
        <v>1240</v>
      </c>
    </row>
    <row r="25" spans="2:14" x14ac:dyDescent="0.2">
      <c r="B25" s="13" t="s">
        <v>311</v>
      </c>
      <c r="C25" s="35">
        <v>62</v>
      </c>
      <c r="D25" s="15">
        <v>1240</v>
      </c>
      <c r="E25" s="15">
        <v>3403</v>
      </c>
      <c r="F25" s="20">
        <f>IFERROR(GETPIVOTDATA("Soma de Minecraft Season Pass Price",$B$23,"Minecraft Season Pass","Yes")/GETPIVOTDATA("Total Value",$B$14),0)</f>
        <v>0.36438436673523361</v>
      </c>
    </row>
    <row r="26" spans="2:14" x14ac:dyDescent="0.2">
      <c r="F26" s="20">
        <f>GETPIVOTDATA("Contagem de Minecraft Season Pass",$B$23,"Minecraft Season Pass","Yes")/GETPIVOTDATA("Contagem de Minecraft Season Pass",$B$23)</f>
        <v>1</v>
      </c>
      <c r="J26" s="22" t="s">
        <v>343</v>
      </c>
      <c r="K26" s="21"/>
    </row>
    <row r="27" spans="2:14" x14ac:dyDescent="0.2">
      <c r="B27" s="13"/>
      <c r="D27" s="15"/>
      <c r="J27" s="13"/>
    </row>
    <row r="28" spans="2:14" x14ac:dyDescent="0.2">
      <c r="B28" s="21" t="s">
        <v>318</v>
      </c>
      <c r="C28" s="21"/>
      <c r="D28" s="23"/>
      <c r="E28" s="21"/>
      <c r="F28" s="21"/>
      <c r="J28" s="12" t="s">
        <v>338</v>
      </c>
      <c r="M28" t="s">
        <v>350</v>
      </c>
    </row>
    <row r="29" spans="2:14" x14ac:dyDescent="0.2">
      <c r="B29" s="22" t="s">
        <v>321</v>
      </c>
      <c r="C29" s="21"/>
      <c r="D29" s="21"/>
      <c r="E29" s="21"/>
      <c r="F29" s="21"/>
      <c r="J29" s="13" t="s">
        <v>308</v>
      </c>
      <c r="K29" s="35">
        <v>1240</v>
      </c>
      <c r="L29" t="s">
        <v>340</v>
      </c>
      <c r="M29" s="15">
        <f>GETPIVOTDATA("Soma de Minecraft Season Pass Price",$J$28)</f>
        <v>1240</v>
      </c>
      <c r="N29" s="26">
        <f>M29/$M$34</f>
        <v>0.30769230769230771</v>
      </c>
    </row>
    <row r="30" spans="2:14" ht="16" x14ac:dyDescent="0.2">
      <c r="B30" s="22" t="s">
        <v>319</v>
      </c>
      <c r="C30" s="21"/>
      <c r="D30" s="21"/>
      <c r="E30" s="21"/>
      <c r="F30" s="21"/>
      <c r="J30" s="13" t="s">
        <v>316</v>
      </c>
      <c r="K30" s="35">
        <v>1860</v>
      </c>
      <c r="L30" s="25" t="s">
        <v>342</v>
      </c>
      <c r="M30" s="15">
        <f>GETPIVOTDATA("Soma de EA Play Season Pass
Price",$J$28)</f>
        <v>1860</v>
      </c>
      <c r="N30" s="26">
        <f>M30/$M$34</f>
        <v>0.46153846153846156</v>
      </c>
    </row>
    <row r="31" spans="2:14" ht="14" customHeight="1" x14ac:dyDescent="0.2">
      <c r="J31" s="13" t="s">
        <v>339</v>
      </c>
      <c r="K31" s="35">
        <v>930</v>
      </c>
      <c r="L31" t="s">
        <v>5</v>
      </c>
      <c r="M31" s="15">
        <f>GETPIVOTDATA("Soma de Subscription Price",$J$28)</f>
        <v>930</v>
      </c>
      <c r="N31" s="26">
        <f>M31/$M$34</f>
        <v>0.23076923076923078</v>
      </c>
    </row>
    <row r="32" spans="2:14" x14ac:dyDescent="0.2">
      <c r="B32" s="12" t="s">
        <v>310</v>
      </c>
      <c r="C32" t="s">
        <v>314</v>
      </c>
      <c r="D32" t="s">
        <v>316</v>
      </c>
      <c r="E32" t="s">
        <v>307</v>
      </c>
      <c r="J32" s="13" t="s">
        <v>336</v>
      </c>
      <c r="K32" s="35">
        <v>627</v>
      </c>
      <c r="L32" t="s">
        <v>24</v>
      </c>
      <c r="M32" s="15">
        <f>-GETPIVOTDATA("Soma de Coupon Value",$J$28)</f>
        <v>-627</v>
      </c>
      <c r="N32" s="26">
        <f>M32/$M$34</f>
        <v>-0.15558312655086848</v>
      </c>
    </row>
    <row r="33" spans="2:14" x14ac:dyDescent="0.2">
      <c r="B33" s="13" t="s">
        <v>11</v>
      </c>
      <c r="C33" s="35">
        <v>62</v>
      </c>
      <c r="D33" s="15">
        <v>1860</v>
      </c>
      <c r="E33" s="15">
        <v>3403</v>
      </c>
      <c r="F33" s="17">
        <f>IFERROR(GETPIVOTDATA("Soma de Total Value",$B$32,"EA Play Season Pass","Yes"),0)</f>
        <v>3403</v>
      </c>
      <c r="J33" s="27" t="s">
        <v>311</v>
      </c>
      <c r="K33" s="27">
        <f>SUM(K29:K32)</f>
        <v>4657</v>
      </c>
      <c r="L33" t="s">
        <v>341</v>
      </c>
      <c r="M33" s="15">
        <f>SUM(M29:M32)</f>
        <v>3403</v>
      </c>
      <c r="N33" s="26">
        <f>M33/$M$34</f>
        <v>0.84441687344913152</v>
      </c>
    </row>
    <row r="34" spans="2:14" x14ac:dyDescent="0.2">
      <c r="B34" s="13" t="s">
        <v>311</v>
      </c>
      <c r="C34" s="35">
        <v>62</v>
      </c>
      <c r="D34" s="15">
        <v>1860</v>
      </c>
      <c r="E34" s="15">
        <v>3403</v>
      </c>
      <c r="F34" s="20">
        <f>IFERROR(GETPIVOTDATA("Soma de EA Play Season Pass
Price",$B$32,"EA Play Season Pass","Yes")/GETPIVOTDATA("Total Value",$B$14),0)</f>
        <v>0.54657655010285044</v>
      </c>
      <c r="M34" s="15">
        <f>SUM(M29:M31)</f>
        <v>4030</v>
      </c>
    </row>
    <row r="35" spans="2:14" x14ac:dyDescent="0.2">
      <c r="F35" s="20">
        <f>IFERROR(GETPIVOTDATA("Contagem de EA Play Season Pass",$B$32,"EA Play Season Pass","Yes")/GETPIVOTDATA("Contagem de EA Play Season Pass",$B$32),0)</f>
        <v>1</v>
      </c>
      <c r="J35" s="30" t="s">
        <v>351</v>
      </c>
      <c r="K35" s="21"/>
      <c r="L35" s="25"/>
    </row>
    <row r="36" spans="2:14" x14ac:dyDescent="0.2">
      <c r="J36" s="22" t="s">
        <v>325</v>
      </c>
      <c r="K36" s="21"/>
      <c r="M36" s="15"/>
    </row>
    <row r="37" spans="2:14" x14ac:dyDescent="0.2">
      <c r="M37" s="15"/>
    </row>
    <row r="38" spans="2:14" x14ac:dyDescent="0.2">
      <c r="B38" s="46" t="s">
        <v>354</v>
      </c>
      <c r="C38" s="47"/>
      <c r="D38" s="47"/>
      <c r="E38" s="47"/>
      <c r="F38" s="47"/>
      <c r="J38" s="12" t="s">
        <v>310</v>
      </c>
      <c r="K38" t="s">
        <v>307</v>
      </c>
      <c r="L38" t="s">
        <v>309</v>
      </c>
      <c r="M38" s="15"/>
    </row>
    <row r="39" spans="2:14" x14ac:dyDescent="0.2">
      <c r="J39" s="13" t="s">
        <v>10</v>
      </c>
      <c r="K39" s="35">
        <v>5357</v>
      </c>
      <c r="L39" s="35">
        <v>99</v>
      </c>
      <c r="M39" s="31" t="e">
        <f>GETPIVOTDATA("Soma de Total Value",$J$38,"Plan","Core")/GETPIVOTDATA("Contagem de Plan",$J$38,"Plan","Core")</f>
        <v>#REF!</v>
      </c>
      <c r="N39" s="15">
        <f>IFERROR(M39,0)</f>
        <v>0</v>
      </c>
    </row>
    <row r="40" spans="2:14" x14ac:dyDescent="0.2">
      <c r="B40" s="12" t="s">
        <v>368</v>
      </c>
      <c r="C40" s="12" t="s">
        <v>355</v>
      </c>
      <c r="J40" s="13" t="s">
        <v>311</v>
      </c>
      <c r="K40" s="35">
        <v>5357</v>
      </c>
      <c r="L40" s="35">
        <v>99</v>
      </c>
      <c r="M40" s="31" t="e">
        <f>GETPIVOTDATA("Soma de Total Value",$J$38,"Plan","Standard")/GETPIVOTDATA("Contagem de Plan",$J$38,"Plan","Standard")</f>
        <v>#REF!</v>
      </c>
      <c r="N40" s="15">
        <f t="shared" ref="N40:N42" si="0">IFERROR(M40,0)</f>
        <v>0</v>
      </c>
    </row>
    <row r="41" spans="2:14" x14ac:dyDescent="0.2">
      <c r="B41" s="12" t="s">
        <v>356</v>
      </c>
      <c r="C41" t="s">
        <v>18</v>
      </c>
      <c r="D41" t="s">
        <v>10</v>
      </c>
      <c r="E41" t="s">
        <v>311</v>
      </c>
      <c r="M41" s="31">
        <f>GETPIVOTDATA("Soma de Total Value",$J$38,"Plan","Ultimate")/GETPIVOTDATA("Contagem de Plan",$J$38,"Plan","Ultimate")</f>
        <v>54.111111111111114</v>
      </c>
      <c r="N41" s="15">
        <f t="shared" si="0"/>
        <v>54.111111111111114</v>
      </c>
    </row>
    <row r="42" spans="2:14" x14ac:dyDescent="0.2">
      <c r="B42" s="13" t="s">
        <v>358</v>
      </c>
      <c r="C42" s="35"/>
      <c r="D42" s="35">
        <v>99</v>
      </c>
      <c r="E42" s="35">
        <v>99</v>
      </c>
      <c r="M42" s="31">
        <f>GETPIVOTDATA("Soma de Total Value",$J$38)/GETPIVOTDATA("Contagem de Plan",$J$38)</f>
        <v>54.111111111111114</v>
      </c>
      <c r="N42" s="15">
        <f t="shared" si="0"/>
        <v>54.111111111111114</v>
      </c>
    </row>
    <row r="43" spans="2:14" x14ac:dyDescent="0.2">
      <c r="B43" s="13" t="s">
        <v>355</v>
      </c>
      <c r="C43" s="35">
        <v>96</v>
      </c>
      <c r="D43" s="35"/>
      <c r="E43" s="35">
        <v>96</v>
      </c>
    </row>
    <row r="44" spans="2:14" x14ac:dyDescent="0.2">
      <c r="B44" s="13" t="s">
        <v>311</v>
      </c>
      <c r="C44" s="35">
        <v>96</v>
      </c>
      <c r="D44" s="35">
        <v>99</v>
      </c>
      <c r="E44" s="35">
        <v>195</v>
      </c>
      <c r="J44" s="22" t="s">
        <v>328</v>
      </c>
      <c r="K44" s="21"/>
      <c r="L44" s="21"/>
    </row>
    <row r="45" spans="2:14" x14ac:dyDescent="0.2">
      <c r="J45" s="22" t="s">
        <v>349</v>
      </c>
      <c r="K45" s="21"/>
      <c r="L45" s="21"/>
    </row>
    <row r="47" spans="2:14" x14ac:dyDescent="0.2">
      <c r="J47" t="s">
        <v>336</v>
      </c>
      <c r="K47" t="s">
        <v>307</v>
      </c>
      <c r="L47" t="s">
        <v>309</v>
      </c>
      <c r="M47" s="20">
        <f>IFERROR(GETPIVOTDATA("Soma de Coupon Value",$J$47)/GETPIVOTDATA("Soma de Total Value",$J$47),0)</f>
        <v>0.18424919188950925</v>
      </c>
    </row>
    <row r="48" spans="2:14" x14ac:dyDescent="0.2">
      <c r="J48" s="35">
        <v>627</v>
      </c>
      <c r="K48" s="35">
        <v>3403</v>
      </c>
      <c r="L48" s="35">
        <v>62</v>
      </c>
      <c r="M48" s="15">
        <f>GETPIVOTDATA("Soma de Coupon Value",$J$47)/GETPIVOTDATA("Contagem de Plan",$J$47)</f>
        <v>10.112903225806452</v>
      </c>
    </row>
    <row r="49" spans="2:12" ht="15" customHeight="1" x14ac:dyDescent="0.2">
      <c r="L49" s="20"/>
    </row>
    <row r="50" spans="2:12" x14ac:dyDescent="0.2">
      <c r="J50" s="21" t="s">
        <v>346</v>
      </c>
      <c r="K50" s="21"/>
    </row>
    <row r="51" spans="2:12" x14ac:dyDescent="0.2">
      <c r="B51" s="13" t="s">
        <v>14</v>
      </c>
      <c r="C51" s="13" t="s">
        <v>357</v>
      </c>
      <c r="D51" s="13">
        <f>IFERROR(GETPIVOTDATA("Total Value",$B$40,"Plan","Core","Pack","No Extras"),0)</f>
        <v>0</v>
      </c>
      <c r="E51" s="26">
        <f>D51/SUM($D$51:$D$59)</f>
        <v>0</v>
      </c>
    </row>
    <row r="52" spans="2:12" x14ac:dyDescent="0.2">
      <c r="B52" s="13" t="s">
        <v>18</v>
      </c>
      <c r="C52" s="13" t="s">
        <v>357</v>
      </c>
      <c r="D52" s="13">
        <f>IFERROR(GETPIVOTDATA("Total Value",$B$40,"Plan","Standard","Pack","No Extras"),0)</f>
        <v>0</v>
      </c>
      <c r="E52" s="26">
        <f t="shared" ref="E52:E59" si="1">D52/SUM($D$51:$D$59)</f>
        <v>0</v>
      </c>
      <c r="F52" s="36"/>
      <c r="J52" s="12" t="s">
        <v>344</v>
      </c>
      <c r="K52" t="s">
        <v>312</v>
      </c>
    </row>
    <row r="53" spans="2:12" x14ac:dyDescent="0.2">
      <c r="B53" s="13" t="s">
        <v>18</v>
      </c>
      <c r="C53" s="13" t="s">
        <v>355</v>
      </c>
      <c r="D53" s="13">
        <f>IFERROR(GETPIVOTDATA("Total Value",$B$40,"Plan","Standard","Pack","Minecraft"),0)</f>
        <v>96</v>
      </c>
      <c r="E53" s="26">
        <f t="shared" si="1"/>
        <v>0.49230769230769234</v>
      </c>
    </row>
    <row r="54" spans="2:12" x14ac:dyDescent="0.2">
      <c r="B54" s="13" t="s">
        <v>18</v>
      </c>
      <c r="C54" s="13" t="s">
        <v>359</v>
      </c>
      <c r="D54" s="13">
        <f>IFERROR(GETPIVOTDATA("Total Value",$B$40,"Plan","Standard","Pack","EA Play "),0)</f>
        <v>0</v>
      </c>
      <c r="E54" s="26">
        <f t="shared" si="1"/>
        <v>0</v>
      </c>
      <c r="F54" s="36"/>
      <c r="J54" s="12" t="s">
        <v>310</v>
      </c>
      <c r="K54" t="s">
        <v>307</v>
      </c>
      <c r="L54" t="s">
        <v>336</v>
      </c>
    </row>
    <row r="55" spans="2:12" x14ac:dyDescent="0.2">
      <c r="B55" s="13" t="s">
        <v>18</v>
      </c>
      <c r="C55" s="13" t="s">
        <v>358</v>
      </c>
      <c r="D55" s="13">
        <f>IFERROR(GETPIVOTDATA("Total Value",$B$40,"Plan","Standard","Pack","EA Play + Minecraft"),0)</f>
        <v>0</v>
      </c>
      <c r="E55" s="26">
        <f t="shared" si="1"/>
        <v>0</v>
      </c>
      <c r="F55" s="36"/>
      <c r="J55" s="13" t="s">
        <v>10</v>
      </c>
      <c r="K55" s="35">
        <v>3403</v>
      </c>
      <c r="L55" s="35">
        <v>627</v>
      </c>
    </row>
    <row r="56" spans="2:12" x14ac:dyDescent="0.2">
      <c r="B56" s="13" t="s">
        <v>10</v>
      </c>
      <c r="C56" s="13" t="s">
        <v>357</v>
      </c>
      <c r="D56" s="13">
        <f>IFERROR(GETPIVOTDATA("Total Value",$B$40,"Plan","Ultimate","Pack","No Extras"),0)</f>
        <v>0</v>
      </c>
      <c r="E56" s="26">
        <f t="shared" si="1"/>
        <v>0</v>
      </c>
      <c r="F56" s="36"/>
      <c r="J56" s="13" t="s">
        <v>311</v>
      </c>
      <c r="K56" s="35">
        <v>3403</v>
      </c>
      <c r="L56" s="35">
        <v>627</v>
      </c>
    </row>
    <row r="57" spans="2:12" x14ac:dyDescent="0.2">
      <c r="B57" s="13" t="s">
        <v>10</v>
      </c>
      <c r="C57" s="13" t="s">
        <v>355</v>
      </c>
      <c r="D57" s="13">
        <f>IFERROR(GETPIVOTDATA("Total Value",$B$40,"Plan","Ultimate","Pack","Minecraft"),0)</f>
        <v>0</v>
      </c>
      <c r="E57" s="26">
        <f t="shared" si="1"/>
        <v>0</v>
      </c>
    </row>
    <row r="58" spans="2:12" x14ac:dyDescent="0.2">
      <c r="B58" s="13" t="s">
        <v>10</v>
      </c>
      <c r="C58" s="13" t="s">
        <v>359</v>
      </c>
      <c r="D58" s="13">
        <f>IFERROR(GETPIVOTDATA("Total Value",$B$40,"Plan","Ultimate","Pack","EA Play "),0)</f>
        <v>0</v>
      </c>
      <c r="E58" s="26">
        <f t="shared" si="1"/>
        <v>0</v>
      </c>
      <c r="F58" s="36"/>
    </row>
    <row r="59" spans="2:12" x14ac:dyDescent="0.2">
      <c r="B59" s="13" t="s">
        <v>10</v>
      </c>
      <c r="C59" s="13" t="s">
        <v>358</v>
      </c>
      <c r="D59" s="13">
        <f>IFERROR(GETPIVOTDATA("Total Value",$B$40,"Plan","Ultimate","Pack","EA Play + Minecraft"),0)</f>
        <v>99</v>
      </c>
      <c r="E59" s="26">
        <f t="shared" si="1"/>
        <v>0.50769230769230766</v>
      </c>
      <c r="J59" s="21" t="s">
        <v>347</v>
      </c>
      <c r="K59" s="21"/>
    </row>
    <row r="61" spans="2:12" x14ac:dyDescent="0.2">
      <c r="J61" s="12" t="s">
        <v>8</v>
      </c>
      <c r="K61" t="s">
        <v>312</v>
      </c>
    </row>
    <row r="62" spans="2:12" x14ac:dyDescent="0.2">
      <c r="J62" s="12" t="s">
        <v>5</v>
      </c>
      <c r="K62" t="s">
        <v>352</v>
      </c>
    </row>
    <row r="64" spans="2:12" x14ac:dyDescent="0.2">
      <c r="J64" s="16" t="s">
        <v>310</v>
      </c>
      <c r="K64" t="s">
        <v>307</v>
      </c>
    </row>
    <row r="65" spans="10:12" x14ac:dyDescent="0.2">
      <c r="J65" s="13" t="s">
        <v>15</v>
      </c>
      <c r="K65" s="15">
        <v>1688</v>
      </c>
    </row>
    <row r="66" spans="10:12" x14ac:dyDescent="0.2">
      <c r="J66" s="13" t="s">
        <v>11</v>
      </c>
      <c r="K66" s="15">
        <v>1715</v>
      </c>
      <c r="L66" s="26">
        <f>IFERROR(GETPIVOTDATA("Total Value",$J$64,"Auto Renewal","Yes")/GETPIVOTDATA("Total Value",$J$64),0)</f>
        <v>0.50396708786364974</v>
      </c>
    </row>
    <row r="67" spans="10:12" x14ac:dyDescent="0.2">
      <c r="J67" s="13" t="s">
        <v>311</v>
      </c>
      <c r="K67" s="15">
        <v>3403</v>
      </c>
    </row>
  </sheetData>
  <mergeCells count="1">
    <mergeCell ref="B5:D5"/>
  </mergeCells>
  <pageMargins left="0.511811024" right="0.511811024" top="0.78740157499999996" bottom="0.78740157499999996" header="0.31496062000000002" footer="0.31496062000000002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D933C-D436-3E4F-A0E0-7C124468CE36}">
  <sheetPr>
    <tabColor theme="3" tint="0.749992370372631"/>
  </sheetPr>
  <dimension ref="A1:U138"/>
  <sheetViews>
    <sheetView showGridLines="0" showRowColHeaders="0" tabSelected="1" zoomScale="150" zoomScaleNormal="150" workbookViewId="0">
      <selection activeCell="W15" sqref="W15"/>
    </sheetView>
  </sheetViews>
  <sheetFormatPr baseColWidth="10" defaultColWidth="8.83203125" defaultRowHeight="15" x14ac:dyDescent="0.2"/>
  <cols>
    <col min="1" max="1" width="31.83203125" style="19" customWidth="1"/>
    <col min="2" max="2" width="3.5" customWidth="1"/>
    <col min="8" max="8" width="8.83203125" customWidth="1"/>
    <col min="11" max="11" width="6.5" customWidth="1"/>
    <col min="12" max="12" width="3.33203125" customWidth="1"/>
  </cols>
  <sheetData>
    <row r="1" spans="1:21" s="14" customFormat="1" ht="53" customHeight="1" x14ac:dyDescent="0.2">
      <c r="A1" s="19"/>
    </row>
    <row r="2" spans="1:21" s="14" customFormat="1" ht="37" customHeight="1" thickBot="1" x14ac:dyDescent="0.45">
      <c r="A2" s="19"/>
      <c r="C2" s="28" t="s">
        <v>348</v>
      </c>
      <c r="D2" s="29"/>
      <c r="E2" s="29"/>
      <c r="F2" s="29"/>
      <c r="G2" s="29"/>
      <c r="H2" s="29"/>
      <c r="I2" s="29"/>
      <c r="J2" s="29"/>
      <c r="K2" s="29"/>
      <c r="L2" s="29"/>
    </row>
    <row r="3" spans="1:21" s="14" customFormat="1" ht="13" customHeight="1" thickTop="1" x14ac:dyDescent="0.2">
      <c r="A3" s="19"/>
    </row>
    <row r="4" spans="1:21" s="10" customFormat="1" ht="16" customHeight="1" x14ac:dyDescent="0.2">
      <c r="A4" s="19"/>
      <c r="C4" s="48" t="s">
        <v>369</v>
      </c>
    </row>
    <row r="5" spans="1:21" s="10" customFormat="1" ht="12" customHeight="1" x14ac:dyDescent="0.2">
      <c r="A5" s="19"/>
    </row>
    <row r="6" spans="1:21" s="10" customFormat="1" ht="33" customHeight="1" x14ac:dyDescent="0.2">
      <c r="A6" s="19"/>
    </row>
    <row r="7" spans="1:21" s="10" customFormat="1" x14ac:dyDescent="0.2">
      <c r="A7" s="19"/>
    </row>
    <row r="8" spans="1:21" s="10" customFormat="1" x14ac:dyDescent="0.2">
      <c r="A8" s="19"/>
      <c r="U8" s="47"/>
    </row>
    <row r="9" spans="1:21" s="10" customFormat="1" x14ac:dyDescent="0.2">
      <c r="A9" s="19"/>
    </row>
    <row r="10" spans="1:21" s="10" customFormat="1" x14ac:dyDescent="0.2">
      <c r="A10" s="19"/>
      <c r="H10" s="10" t="s">
        <v>322</v>
      </c>
    </row>
    <row r="11" spans="1:21" s="10" customFormat="1" x14ac:dyDescent="0.2">
      <c r="A11" s="19"/>
    </row>
    <row r="12" spans="1:21" s="10" customFormat="1" x14ac:dyDescent="0.2">
      <c r="A12" s="19"/>
    </row>
    <row r="13" spans="1:21" s="10" customFormat="1" x14ac:dyDescent="0.2">
      <c r="A13" s="19"/>
    </row>
    <row r="14" spans="1:21" s="10" customFormat="1" x14ac:dyDescent="0.2">
      <c r="A14" s="19"/>
    </row>
    <row r="15" spans="1:21" s="10" customFormat="1" x14ac:dyDescent="0.2">
      <c r="A15" s="19"/>
    </row>
    <row r="16" spans="1:21" s="10" customFormat="1" x14ac:dyDescent="0.2">
      <c r="A16" s="19"/>
    </row>
    <row r="17" spans="1:1" s="10" customFormat="1" x14ac:dyDescent="0.2">
      <c r="A17" s="19"/>
    </row>
    <row r="18" spans="1:1" s="10" customFormat="1" x14ac:dyDescent="0.2">
      <c r="A18" s="19"/>
    </row>
    <row r="19" spans="1:1" s="10" customFormat="1" x14ac:dyDescent="0.2">
      <c r="A19" s="19"/>
    </row>
    <row r="20" spans="1:1" s="10" customFormat="1" x14ac:dyDescent="0.2">
      <c r="A20" s="19"/>
    </row>
    <row r="21" spans="1:1" s="10" customFormat="1" x14ac:dyDescent="0.2">
      <c r="A21" s="19"/>
    </row>
    <row r="22" spans="1:1" s="10" customFormat="1" x14ac:dyDescent="0.2">
      <c r="A22" s="19"/>
    </row>
    <row r="23" spans="1:1" s="10" customFormat="1" x14ac:dyDescent="0.2">
      <c r="A23" s="19"/>
    </row>
    <row r="24" spans="1:1" s="10" customFormat="1" x14ac:dyDescent="0.2">
      <c r="A24" s="19"/>
    </row>
    <row r="25" spans="1:1" s="10" customFormat="1" x14ac:dyDescent="0.2">
      <c r="A25" s="19"/>
    </row>
    <row r="26" spans="1:1" s="10" customFormat="1" x14ac:dyDescent="0.2">
      <c r="A26" s="19"/>
    </row>
    <row r="27" spans="1:1" s="10" customFormat="1" x14ac:dyDescent="0.2">
      <c r="A27" s="19"/>
    </row>
    <row r="28" spans="1:1" s="10" customFormat="1" x14ac:dyDescent="0.2">
      <c r="A28" s="19"/>
    </row>
    <row r="29" spans="1:1" s="10" customFormat="1" x14ac:dyDescent="0.2">
      <c r="A29" s="19"/>
    </row>
    <row r="30" spans="1:1" s="10" customFormat="1" x14ac:dyDescent="0.2">
      <c r="A30" s="19"/>
    </row>
    <row r="31" spans="1:1" s="10" customFormat="1" x14ac:dyDescent="0.2">
      <c r="A31" s="19"/>
    </row>
    <row r="32" spans="1:1" s="10" customFormat="1" x14ac:dyDescent="0.2">
      <c r="A32" s="19"/>
    </row>
    <row r="33" spans="1:1" s="10" customFormat="1" x14ac:dyDescent="0.2">
      <c r="A33" s="19"/>
    </row>
    <row r="34" spans="1:1" s="10" customFormat="1" x14ac:dyDescent="0.2">
      <c r="A34" s="19"/>
    </row>
    <row r="35" spans="1:1" s="10" customFormat="1" x14ac:dyDescent="0.2">
      <c r="A35" s="19"/>
    </row>
    <row r="36" spans="1:1" s="10" customFormat="1" x14ac:dyDescent="0.2">
      <c r="A36" s="19"/>
    </row>
    <row r="37" spans="1:1" s="10" customFormat="1" x14ac:dyDescent="0.2">
      <c r="A37" s="19"/>
    </row>
    <row r="38" spans="1:1" s="10" customFormat="1" x14ac:dyDescent="0.2">
      <c r="A38" s="19"/>
    </row>
    <row r="39" spans="1:1" s="10" customFormat="1" x14ac:dyDescent="0.2">
      <c r="A39" s="19"/>
    </row>
    <row r="40" spans="1:1" s="10" customFormat="1" x14ac:dyDescent="0.2">
      <c r="A40" s="19"/>
    </row>
    <row r="41" spans="1:1" s="10" customFormat="1" x14ac:dyDescent="0.2">
      <c r="A41" s="19"/>
    </row>
    <row r="42" spans="1:1" s="10" customFormat="1" x14ac:dyDescent="0.2">
      <c r="A42" s="19"/>
    </row>
    <row r="43" spans="1:1" s="10" customFormat="1" x14ac:dyDescent="0.2">
      <c r="A43" s="19"/>
    </row>
    <row r="44" spans="1:1" s="10" customFormat="1" x14ac:dyDescent="0.2">
      <c r="A44" s="19"/>
    </row>
    <row r="45" spans="1:1" s="10" customFormat="1" x14ac:dyDescent="0.2">
      <c r="A45" s="19"/>
    </row>
    <row r="46" spans="1:1" s="10" customFormat="1" x14ac:dyDescent="0.2">
      <c r="A46" s="19"/>
    </row>
    <row r="47" spans="1:1" s="10" customFormat="1" x14ac:dyDescent="0.2">
      <c r="A47" s="19"/>
    </row>
    <row r="48" spans="1:1" s="10" customFormat="1" x14ac:dyDescent="0.2">
      <c r="A48" s="19"/>
    </row>
    <row r="49" spans="1:1" s="10" customFormat="1" x14ac:dyDescent="0.2">
      <c r="A49" s="19"/>
    </row>
    <row r="50" spans="1:1" s="10" customFormat="1" x14ac:dyDescent="0.2">
      <c r="A50" s="19"/>
    </row>
    <row r="51" spans="1:1" s="10" customFormat="1" x14ac:dyDescent="0.2">
      <c r="A51" s="19"/>
    </row>
    <row r="52" spans="1:1" s="10" customFormat="1" x14ac:dyDescent="0.2">
      <c r="A52" s="19"/>
    </row>
    <row r="53" spans="1:1" s="10" customFormat="1" x14ac:dyDescent="0.2">
      <c r="A53" s="19"/>
    </row>
    <row r="54" spans="1:1" s="10" customFormat="1" x14ac:dyDescent="0.2">
      <c r="A54" s="19"/>
    </row>
    <row r="55" spans="1:1" s="10" customFormat="1" x14ac:dyDescent="0.2">
      <c r="A55" s="19"/>
    </row>
    <row r="56" spans="1:1" s="10" customFormat="1" x14ac:dyDescent="0.2">
      <c r="A56" s="19"/>
    </row>
    <row r="57" spans="1:1" s="10" customFormat="1" x14ac:dyDescent="0.2">
      <c r="A57" s="19"/>
    </row>
    <row r="58" spans="1:1" s="10" customFormat="1" x14ac:dyDescent="0.2">
      <c r="A58" s="19"/>
    </row>
    <row r="59" spans="1:1" s="10" customFormat="1" x14ac:dyDescent="0.2">
      <c r="A59" s="19"/>
    </row>
    <row r="60" spans="1:1" s="10" customFormat="1" x14ac:dyDescent="0.2">
      <c r="A60" s="19"/>
    </row>
    <row r="61" spans="1:1" s="10" customFormat="1" x14ac:dyDescent="0.2">
      <c r="A61" s="19"/>
    </row>
    <row r="62" spans="1:1" s="10" customFormat="1" x14ac:dyDescent="0.2">
      <c r="A62" s="19"/>
    </row>
    <row r="63" spans="1:1" s="10" customFormat="1" x14ac:dyDescent="0.2">
      <c r="A63" s="19"/>
    </row>
    <row r="64" spans="1:1" s="10" customFormat="1" x14ac:dyDescent="0.2">
      <c r="A64" s="19"/>
    </row>
    <row r="65" spans="1:1" s="10" customFormat="1" x14ac:dyDescent="0.2">
      <c r="A65" s="19"/>
    </row>
    <row r="66" spans="1:1" s="10" customFormat="1" x14ac:dyDescent="0.2">
      <c r="A66" s="19"/>
    </row>
    <row r="67" spans="1:1" s="10" customFormat="1" x14ac:dyDescent="0.2">
      <c r="A67" s="19"/>
    </row>
    <row r="68" spans="1:1" s="10" customFormat="1" x14ac:dyDescent="0.2">
      <c r="A68" s="19"/>
    </row>
    <row r="69" spans="1:1" s="10" customFormat="1" x14ac:dyDescent="0.2">
      <c r="A69" s="19"/>
    </row>
    <row r="70" spans="1:1" s="10" customFormat="1" x14ac:dyDescent="0.2">
      <c r="A70" s="19"/>
    </row>
    <row r="71" spans="1:1" s="10" customFormat="1" x14ac:dyDescent="0.2">
      <c r="A71" s="19"/>
    </row>
    <row r="72" spans="1:1" s="10" customFormat="1" x14ac:dyDescent="0.2">
      <c r="A72" s="19"/>
    </row>
    <row r="73" spans="1:1" s="10" customFormat="1" x14ac:dyDescent="0.2">
      <c r="A73" s="19"/>
    </row>
    <row r="74" spans="1:1" s="10" customFormat="1" x14ac:dyDescent="0.2">
      <c r="A74" s="19"/>
    </row>
    <row r="75" spans="1:1" s="10" customFormat="1" x14ac:dyDescent="0.2">
      <c r="A75" s="19"/>
    </row>
    <row r="76" spans="1:1" s="10" customFormat="1" x14ac:dyDescent="0.2">
      <c r="A76" s="19"/>
    </row>
    <row r="77" spans="1:1" s="10" customFormat="1" x14ac:dyDescent="0.2">
      <c r="A77" s="19"/>
    </row>
    <row r="78" spans="1:1" s="10" customFormat="1" x14ac:dyDescent="0.2">
      <c r="A78" s="19"/>
    </row>
    <row r="79" spans="1:1" s="10" customFormat="1" x14ac:dyDescent="0.2">
      <c r="A79" s="19"/>
    </row>
    <row r="80" spans="1:1" s="10" customFormat="1" x14ac:dyDescent="0.2">
      <c r="A80" s="19"/>
    </row>
    <row r="81" spans="1:1" s="10" customFormat="1" x14ac:dyDescent="0.2">
      <c r="A81" s="19"/>
    </row>
    <row r="82" spans="1:1" s="10" customFormat="1" x14ac:dyDescent="0.2">
      <c r="A82" s="19"/>
    </row>
    <row r="83" spans="1:1" s="10" customFormat="1" x14ac:dyDescent="0.2">
      <c r="A83" s="19"/>
    </row>
    <row r="84" spans="1:1" s="10" customFormat="1" x14ac:dyDescent="0.2">
      <c r="A84" s="19"/>
    </row>
    <row r="85" spans="1:1" s="10" customFormat="1" x14ac:dyDescent="0.2">
      <c r="A85" s="19"/>
    </row>
    <row r="86" spans="1:1" s="10" customFormat="1" x14ac:dyDescent="0.2">
      <c r="A86" s="19"/>
    </row>
    <row r="87" spans="1:1" s="10" customFormat="1" x14ac:dyDescent="0.2">
      <c r="A87" s="19"/>
    </row>
    <row r="88" spans="1:1" s="10" customFormat="1" x14ac:dyDescent="0.2">
      <c r="A88" s="19"/>
    </row>
    <row r="89" spans="1:1" s="10" customFormat="1" x14ac:dyDescent="0.2">
      <c r="A89" s="19"/>
    </row>
    <row r="90" spans="1:1" s="10" customFormat="1" x14ac:dyDescent="0.2">
      <c r="A90" s="19"/>
    </row>
    <row r="91" spans="1:1" s="10" customFormat="1" x14ac:dyDescent="0.2">
      <c r="A91" s="19"/>
    </row>
    <row r="92" spans="1:1" s="10" customFormat="1" x14ac:dyDescent="0.2">
      <c r="A92" s="19"/>
    </row>
    <row r="93" spans="1:1" s="10" customFormat="1" x14ac:dyDescent="0.2">
      <c r="A93" s="19"/>
    </row>
    <row r="94" spans="1:1" s="10" customFormat="1" x14ac:dyDescent="0.2">
      <c r="A94" s="19"/>
    </row>
    <row r="95" spans="1:1" s="10" customFormat="1" x14ac:dyDescent="0.2">
      <c r="A95" s="19"/>
    </row>
    <row r="96" spans="1:1" s="10" customFormat="1" x14ac:dyDescent="0.2">
      <c r="A96" s="19"/>
    </row>
    <row r="97" spans="1:1" s="10" customFormat="1" x14ac:dyDescent="0.2">
      <c r="A97" s="19"/>
    </row>
    <row r="98" spans="1:1" s="10" customFormat="1" x14ac:dyDescent="0.2">
      <c r="A98" s="19"/>
    </row>
    <row r="99" spans="1:1" s="10" customFormat="1" x14ac:dyDescent="0.2">
      <c r="A99" s="19"/>
    </row>
    <row r="100" spans="1:1" s="10" customFormat="1" x14ac:dyDescent="0.2">
      <c r="A100" s="19"/>
    </row>
    <row r="101" spans="1:1" s="10" customFormat="1" x14ac:dyDescent="0.2">
      <c r="A101" s="19"/>
    </row>
    <row r="102" spans="1:1" s="10" customFormat="1" x14ac:dyDescent="0.2">
      <c r="A102" s="19"/>
    </row>
    <row r="103" spans="1:1" s="10" customFormat="1" x14ac:dyDescent="0.2">
      <c r="A103" s="19"/>
    </row>
    <row r="104" spans="1:1" s="10" customFormat="1" x14ac:dyDescent="0.2">
      <c r="A104" s="19"/>
    </row>
    <row r="105" spans="1:1" s="10" customFormat="1" x14ac:dyDescent="0.2">
      <c r="A105" s="19"/>
    </row>
    <row r="106" spans="1:1" s="10" customFormat="1" x14ac:dyDescent="0.2">
      <c r="A106" s="19"/>
    </row>
    <row r="107" spans="1:1" s="10" customFormat="1" x14ac:dyDescent="0.2">
      <c r="A107" s="19"/>
    </row>
    <row r="108" spans="1:1" s="10" customFormat="1" x14ac:dyDescent="0.2">
      <c r="A108" s="19"/>
    </row>
    <row r="109" spans="1:1" s="10" customFormat="1" x14ac:dyDescent="0.2">
      <c r="A109" s="19"/>
    </row>
    <row r="110" spans="1:1" s="10" customFormat="1" x14ac:dyDescent="0.2">
      <c r="A110" s="19"/>
    </row>
    <row r="111" spans="1:1" s="10" customFormat="1" x14ac:dyDescent="0.2">
      <c r="A111" s="19"/>
    </row>
    <row r="112" spans="1:1" s="10" customFormat="1" x14ac:dyDescent="0.2">
      <c r="A112" s="19"/>
    </row>
    <row r="113" spans="1:1" s="10" customFormat="1" x14ac:dyDescent="0.2">
      <c r="A113" s="19"/>
    </row>
    <row r="114" spans="1:1" s="10" customFormat="1" x14ac:dyDescent="0.2">
      <c r="A114" s="19"/>
    </row>
    <row r="115" spans="1:1" s="10" customFormat="1" x14ac:dyDescent="0.2">
      <c r="A115" s="19"/>
    </row>
    <row r="116" spans="1:1" s="10" customFormat="1" x14ac:dyDescent="0.2">
      <c r="A116" s="19"/>
    </row>
    <row r="117" spans="1:1" s="10" customFormat="1" x14ac:dyDescent="0.2">
      <c r="A117" s="19"/>
    </row>
    <row r="118" spans="1:1" s="10" customFormat="1" x14ac:dyDescent="0.2">
      <c r="A118" s="19"/>
    </row>
    <row r="119" spans="1:1" s="10" customFormat="1" x14ac:dyDescent="0.2">
      <c r="A119" s="19"/>
    </row>
    <row r="120" spans="1:1" s="10" customFormat="1" x14ac:dyDescent="0.2">
      <c r="A120" s="19"/>
    </row>
    <row r="121" spans="1:1" s="10" customFormat="1" x14ac:dyDescent="0.2">
      <c r="A121" s="19"/>
    </row>
    <row r="122" spans="1:1" s="10" customFormat="1" x14ac:dyDescent="0.2">
      <c r="A122" s="19"/>
    </row>
    <row r="123" spans="1:1" s="10" customFormat="1" x14ac:dyDescent="0.2">
      <c r="A123" s="19"/>
    </row>
    <row r="124" spans="1:1" s="10" customFormat="1" x14ac:dyDescent="0.2">
      <c r="A124" s="19"/>
    </row>
    <row r="125" spans="1:1" s="10" customFormat="1" x14ac:dyDescent="0.2">
      <c r="A125" s="19"/>
    </row>
    <row r="126" spans="1:1" s="10" customFormat="1" x14ac:dyDescent="0.2">
      <c r="A126" s="19"/>
    </row>
    <row r="127" spans="1:1" s="10" customFormat="1" x14ac:dyDescent="0.2">
      <c r="A127" s="19"/>
    </row>
    <row r="128" spans="1:1" s="10" customFormat="1" x14ac:dyDescent="0.2">
      <c r="A128" s="19"/>
    </row>
    <row r="129" spans="1:1" s="10" customFormat="1" x14ac:dyDescent="0.2">
      <c r="A129" s="19"/>
    </row>
    <row r="130" spans="1:1" s="10" customFormat="1" x14ac:dyDescent="0.2">
      <c r="A130" s="19"/>
    </row>
    <row r="131" spans="1:1" s="10" customFormat="1" x14ac:dyDescent="0.2">
      <c r="A131" s="19"/>
    </row>
    <row r="132" spans="1:1" s="10" customFormat="1" x14ac:dyDescent="0.2">
      <c r="A132" s="19"/>
    </row>
    <row r="133" spans="1:1" s="10" customFormat="1" x14ac:dyDescent="0.2">
      <c r="A133" s="19"/>
    </row>
    <row r="134" spans="1:1" s="10" customFormat="1" x14ac:dyDescent="0.2">
      <c r="A134" s="19"/>
    </row>
    <row r="135" spans="1:1" s="10" customFormat="1" x14ac:dyDescent="0.2">
      <c r="A135" s="19"/>
    </row>
    <row r="136" spans="1:1" s="10" customFormat="1" x14ac:dyDescent="0.2">
      <c r="A136" s="19"/>
    </row>
    <row r="137" spans="1:1" s="10" customFormat="1" x14ac:dyDescent="0.2">
      <c r="A137" s="19"/>
    </row>
    <row r="138" spans="1:1" s="10" customFormat="1" x14ac:dyDescent="0.2">
      <c r="A138" s="19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9C4F5-C738-6445-9FC1-CC9D9C696418}">
  <sheetPr>
    <tabColor theme="3" tint="0.749992370372631"/>
  </sheetPr>
  <dimension ref="A1:L138"/>
  <sheetViews>
    <sheetView showGridLines="0" showRowColHeaders="0" zoomScale="150" zoomScaleNormal="150" workbookViewId="0">
      <selection activeCell="U34" sqref="U34"/>
    </sheetView>
  </sheetViews>
  <sheetFormatPr baseColWidth="10" defaultColWidth="8.83203125" defaultRowHeight="15" x14ac:dyDescent="0.2"/>
  <cols>
    <col min="1" max="1" width="31.83203125" style="19" customWidth="1"/>
    <col min="2" max="2" width="3.5" customWidth="1"/>
    <col min="8" max="8" width="8.83203125" customWidth="1"/>
    <col min="11" max="11" width="6.5" customWidth="1"/>
    <col min="12" max="12" width="3.33203125" customWidth="1"/>
  </cols>
  <sheetData>
    <row r="1" spans="1:12" s="14" customFormat="1" ht="53" customHeight="1" x14ac:dyDescent="0.2">
      <c r="A1" s="19"/>
    </row>
    <row r="2" spans="1:12" s="14" customFormat="1" ht="37" customHeight="1" thickBot="1" x14ac:dyDescent="0.45">
      <c r="A2" s="19"/>
      <c r="C2" s="28" t="s">
        <v>348</v>
      </c>
      <c r="D2" s="29"/>
      <c r="E2" s="29"/>
      <c r="F2" s="29"/>
      <c r="G2" s="29"/>
      <c r="H2" s="29"/>
      <c r="I2" s="29"/>
      <c r="J2" s="29"/>
      <c r="K2" s="29"/>
      <c r="L2" s="29"/>
    </row>
    <row r="3" spans="1:12" s="14" customFormat="1" ht="13" customHeight="1" thickTop="1" x14ac:dyDescent="0.2">
      <c r="A3" s="19"/>
    </row>
    <row r="4" spans="1:12" s="10" customFormat="1" ht="16" customHeight="1" x14ac:dyDescent="0.2">
      <c r="A4" s="19"/>
      <c r="C4" s="48" t="s">
        <v>369</v>
      </c>
    </row>
    <row r="5" spans="1:12" s="10" customFormat="1" ht="9.75" customHeight="1" x14ac:dyDescent="0.2">
      <c r="A5" s="19"/>
    </row>
    <row r="6" spans="1:12" s="10" customFormat="1" ht="33" customHeight="1" x14ac:dyDescent="0.2">
      <c r="A6" s="19"/>
    </row>
    <row r="7" spans="1:12" s="10" customFormat="1" x14ac:dyDescent="0.2">
      <c r="A7" s="19"/>
    </row>
    <row r="8" spans="1:12" s="10" customFormat="1" x14ac:dyDescent="0.2">
      <c r="A8" s="19"/>
    </row>
    <row r="9" spans="1:12" s="10" customFormat="1" x14ac:dyDescent="0.2">
      <c r="A9" s="19"/>
    </row>
    <row r="10" spans="1:12" s="10" customFormat="1" x14ac:dyDescent="0.2">
      <c r="A10" s="19"/>
      <c r="H10" s="10" t="s">
        <v>322</v>
      </c>
    </row>
    <row r="11" spans="1:12" s="10" customFormat="1" x14ac:dyDescent="0.2">
      <c r="A11" s="19"/>
    </row>
    <row r="12" spans="1:12" s="10" customFormat="1" x14ac:dyDescent="0.2">
      <c r="A12" s="19"/>
    </row>
    <row r="13" spans="1:12" s="10" customFormat="1" x14ac:dyDescent="0.2">
      <c r="A13" s="19"/>
    </row>
    <row r="14" spans="1:12" s="10" customFormat="1" x14ac:dyDescent="0.2">
      <c r="A14" s="19"/>
    </row>
    <row r="15" spans="1:12" s="10" customFormat="1" x14ac:dyDescent="0.2">
      <c r="A15" s="19"/>
    </row>
    <row r="16" spans="1:12" s="10" customFormat="1" x14ac:dyDescent="0.2">
      <c r="A16" s="19"/>
    </row>
    <row r="17" spans="1:1" s="10" customFormat="1" x14ac:dyDescent="0.2">
      <c r="A17" s="19"/>
    </row>
    <row r="18" spans="1:1" s="10" customFormat="1" x14ac:dyDescent="0.2">
      <c r="A18" s="19"/>
    </row>
    <row r="19" spans="1:1" s="10" customFormat="1" x14ac:dyDescent="0.2">
      <c r="A19" s="19"/>
    </row>
    <row r="20" spans="1:1" s="10" customFormat="1" x14ac:dyDescent="0.2">
      <c r="A20" s="19"/>
    </row>
    <row r="21" spans="1:1" s="10" customFormat="1" x14ac:dyDescent="0.2">
      <c r="A21" s="19"/>
    </row>
    <row r="22" spans="1:1" s="10" customFormat="1" x14ac:dyDescent="0.2">
      <c r="A22" s="19"/>
    </row>
    <row r="23" spans="1:1" s="10" customFormat="1" x14ac:dyDescent="0.2">
      <c r="A23" s="19"/>
    </row>
    <row r="24" spans="1:1" s="10" customFormat="1" x14ac:dyDescent="0.2">
      <c r="A24" s="19"/>
    </row>
    <row r="25" spans="1:1" s="10" customFormat="1" x14ac:dyDescent="0.2">
      <c r="A25" s="19"/>
    </row>
    <row r="26" spans="1:1" s="10" customFormat="1" x14ac:dyDescent="0.2">
      <c r="A26" s="19"/>
    </row>
    <row r="27" spans="1:1" s="10" customFormat="1" x14ac:dyDescent="0.2">
      <c r="A27" s="19"/>
    </row>
    <row r="28" spans="1:1" s="10" customFormat="1" x14ac:dyDescent="0.2">
      <c r="A28" s="19"/>
    </row>
    <row r="29" spans="1:1" s="10" customFormat="1" x14ac:dyDescent="0.2">
      <c r="A29" s="19"/>
    </row>
    <row r="30" spans="1:1" s="10" customFormat="1" x14ac:dyDescent="0.2">
      <c r="A30" s="19"/>
    </row>
    <row r="31" spans="1:1" s="10" customFormat="1" x14ac:dyDescent="0.2">
      <c r="A31" s="19"/>
    </row>
    <row r="32" spans="1:1" s="10" customFormat="1" x14ac:dyDescent="0.2">
      <c r="A32" s="19"/>
    </row>
    <row r="33" spans="1:1" s="10" customFormat="1" x14ac:dyDescent="0.2">
      <c r="A33" s="19"/>
    </row>
    <row r="34" spans="1:1" s="10" customFormat="1" x14ac:dyDescent="0.2">
      <c r="A34" s="19"/>
    </row>
    <row r="35" spans="1:1" s="10" customFormat="1" x14ac:dyDescent="0.2">
      <c r="A35" s="19"/>
    </row>
    <row r="36" spans="1:1" s="10" customFormat="1" x14ac:dyDescent="0.2">
      <c r="A36" s="19"/>
    </row>
    <row r="37" spans="1:1" s="10" customFormat="1" x14ac:dyDescent="0.2">
      <c r="A37" s="19"/>
    </row>
    <row r="38" spans="1:1" s="10" customFormat="1" x14ac:dyDescent="0.2">
      <c r="A38" s="19"/>
    </row>
    <row r="39" spans="1:1" s="10" customFormat="1" x14ac:dyDescent="0.2">
      <c r="A39" s="19"/>
    </row>
    <row r="40" spans="1:1" s="10" customFormat="1" x14ac:dyDescent="0.2">
      <c r="A40" s="19"/>
    </row>
    <row r="41" spans="1:1" s="10" customFormat="1" x14ac:dyDescent="0.2">
      <c r="A41" s="19"/>
    </row>
    <row r="42" spans="1:1" s="10" customFormat="1" x14ac:dyDescent="0.2">
      <c r="A42" s="19"/>
    </row>
    <row r="43" spans="1:1" s="10" customFormat="1" x14ac:dyDescent="0.2">
      <c r="A43" s="19"/>
    </row>
    <row r="44" spans="1:1" s="10" customFormat="1" x14ac:dyDescent="0.2">
      <c r="A44" s="19"/>
    </row>
    <row r="45" spans="1:1" s="10" customFormat="1" x14ac:dyDescent="0.2">
      <c r="A45" s="19"/>
    </row>
    <row r="46" spans="1:1" s="10" customFormat="1" x14ac:dyDescent="0.2">
      <c r="A46" s="19"/>
    </row>
    <row r="47" spans="1:1" s="10" customFormat="1" x14ac:dyDescent="0.2">
      <c r="A47" s="19"/>
    </row>
    <row r="48" spans="1:1" s="10" customFormat="1" x14ac:dyDescent="0.2">
      <c r="A48" s="19"/>
    </row>
    <row r="49" spans="1:1" s="10" customFormat="1" x14ac:dyDescent="0.2">
      <c r="A49" s="19"/>
    </row>
    <row r="50" spans="1:1" s="10" customFormat="1" x14ac:dyDescent="0.2">
      <c r="A50" s="19"/>
    </row>
    <row r="51" spans="1:1" s="10" customFormat="1" x14ac:dyDescent="0.2">
      <c r="A51" s="19"/>
    </row>
    <row r="52" spans="1:1" s="10" customFormat="1" x14ac:dyDescent="0.2">
      <c r="A52" s="19"/>
    </row>
    <row r="53" spans="1:1" s="10" customFormat="1" x14ac:dyDescent="0.2">
      <c r="A53" s="19"/>
    </row>
    <row r="54" spans="1:1" s="10" customFormat="1" x14ac:dyDescent="0.2">
      <c r="A54" s="19"/>
    </row>
    <row r="55" spans="1:1" s="10" customFormat="1" x14ac:dyDescent="0.2">
      <c r="A55" s="19"/>
    </row>
    <row r="56" spans="1:1" s="10" customFormat="1" x14ac:dyDescent="0.2">
      <c r="A56" s="19"/>
    </row>
    <row r="57" spans="1:1" s="10" customFormat="1" x14ac:dyDescent="0.2">
      <c r="A57" s="19"/>
    </row>
    <row r="58" spans="1:1" s="10" customFormat="1" x14ac:dyDescent="0.2">
      <c r="A58" s="19"/>
    </row>
    <row r="59" spans="1:1" s="10" customFormat="1" x14ac:dyDescent="0.2">
      <c r="A59" s="19"/>
    </row>
    <row r="60" spans="1:1" s="10" customFormat="1" x14ac:dyDescent="0.2">
      <c r="A60" s="19"/>
    </row>
    <row r="61" spans="1:1" s="10" customFormat="1" x14ac:dyDescent="0.2">
      <c r="A61" s="19"/>
    </row>
    <row r="62" spans="1:1" s="10" customFormat="1" x14ac:dyDescent="0.2">
      <c r="A62" s="19"/>
    </row>
    <row r="63" spans="1:1" s="10" customFormat="1" x14ac:dyDescent="0.2">
      <c r="A63" s="19"/>
    </row>
    <row r="64" spans="1:1" s="10" customFormat="1" x14ac:dyDescent="0.2">
      <c r="A64" s="19"/>
    </row>
    <row r="65" spans="1:1" s="10" customFormat="1" x14ac:dyDescent="0.2">
      <c r="A65" s="19"/>
    </row>
    <row r="66" spans="1:1" s="10" customFormat="1" x14ac:dyDescent="0.2">
      <c r="A66" s="19"/>
    </row>
    <row r="67" spans="1:1" s="10" customFormat="1" x14ac:dyDescent="0.2">
      <c r="A67" s="19"/>
    </row>
    <row r="68" spans="1:1" s="10" customFormat="1" x14ac:dyDescent="0.2">
      <c r="A68" s="19"/>
    </row>
    <row r="69" spans="1:1" s="10" customFormat="1" x14ac:dyDescent="0.2">
      <c r="A69" s="19"/>
    </row>
    <row r="70" spans="1:1" s="10" customFormat="1" x14ac:dyDescent="0.2">
      <c r="A70" s="19"/>
    </row>
    <row r="71" spans="1:1" s="10" customFormat="1" x14ac:dyDescent="0.2">
      <c r="A71" s="19"/>
    </row>
    <row r="72" spans="1:1" s="10" customFormat="1" x14ac:dyDescent="0.2">
      <c r="A72" s="19"/>
    </row>
    <row r="73" spans="1:1" s="10" customFormat="1" x14ac:dyDescent="0.2">
      <c r="A73" s="19"/>
    </row>
    <row r="74" spans="1:1" s="10" customFormat="1" x14ac:dyDescent="0.2">
      <c r="A74" s="19"/>
    </row>
    <row r="75" spans="1:1" s="10" customFormat="1" x14ac:dyDescent="0.2">
      <c r="A75" s="19"/>
    </row>
    <row r="76" spans="1:1" s="10" customFormat="1" x14ac:dyDescent="0.2">
      <c r="A76" s="19"/>
    </row>
    <row r="77" spans="1:1" s="10" customFormat="1" x14ac:dyDescent="0.2">
      <c r="A77" s="19"/>
    </row>
    <row r="78" spans="1:1" s="10" customFormat="1" x14ac:dyDescent="0.2">
      <c r="A78" s="19"/>
    </row>
    <row r="79" spans="1:1" s="10" customFormat="1" x14ac:dyDescent="0.2">
      <c r="A79" s="19"/>
    </row>
    <row r="80" spans="1:1" s="10" customFormat="1" x14ac:dyDescent="0.2">
      <c r="A80" s="19"/>
    </row>
    <row r="81" spans="1:1" s="10" customFormat="1" x14ac:dyDescent="0.2">
      <c r="A81" s="19"/>
    </row>
    <row r="82" spans="1:1" s="10" customFormat="1" x14ac:dyDescent="0.2">
      <c r="A82" s="19"/>
    </row>
    <row r="83" spans="1:1" s="10" customFormat="1" x14ac:dyDescent="0.2">
      <c r="A83" s="19"/>
    </row>
    <row r="84" spans="1:1" s="10" customFormat="1" x14ac:dyDescent="0.2">
      <c r="A84" s="19"/>
    </row>
    <row r="85" spans="1:1" s="10" customFormat="1" x14ac:dyDescent="0.2">
      <c r="A85" s="19"/>
    </row>
    <row r="86" spans="1:1" s="10" customFormat="1" x14ac:dyDescent="0.2">
      <c r="A86" s="19"/>
    </row>
    <row r="87" spans="1:1" s="10" customFormat="1" x14ac:dyDescent="0.2">
      <c r="A87" s="19"/>
    </row>
    <row r="88" spans="1:1" s="10" customFormat="1" x14ac:dyDescent="0.2">
      <c r="A88" s="19"/>
    </row>
    <row r="89" spans="1:1" s="10" customFormat="1" x14ac:dyDescent="0.2">
      <c r="A89" s="19"/>
    </row>
    <row r="90" spans="1:1" s="10" customFormat="1" x14ac:dyDescent="0.2">
      <c r="A90" s="19"/>
    </row>
    <row r="91" spans="1:1" s="10" customFormat="1" x14ac:dyDescent="0.2">
      <c r="A91" s="19"/>
    </row>
    <row r="92" spans="1:1" s="10" customFormat="1" x14ac:dyDescent="0.2">
      <c r="A92" s="19"/>
    </row>
    <row r="93" spans="1:1" s="10" customFormat="1" x14ac:dyDescent="0.2">
      <c r="A93" s="19"/>
    </row>
    <row r="94" spans="1:1" s="10" customFormat="1" x14ac:dyDescent="0.2">
      <c r="A94" s="19"/>
    </row>
    <row r="95" spans="1:1" s="10" customFormat="1" x14ac:dyDescent="0.2">
      <c r="A95" s="19"/>
    </row>
    <row r="96" spans="1:1" s="10" customFormat="1" x14ac:dyDescent="0.2">
      <c r="A96" s="19"/>
    </row>
    <row r="97" spans="1:1" s="10" customFormat="1" x14ac:dyDescent="0.2">
      <c r="A97" s="19"/>
    </row>
    <row r="98" spans="1:1" s="10" customFormat="1" x14ac:dyDescent="0.2">
      <c r="A98" s="19"/>
    </row>
    <row r="99" spans="1:1" s="10" customFormat="1" x14ac:dyDescent="0.2">
      <c r="A99" s="19"/>
    </row>
    <row r="100" spans="1:1" s="10" customFormat="1" x14ac:dyDescent="0.2">
      <c r="A100" s="19"/>
    </row>
    <row r="101" spans="1:1" s="10" customFormat="1" x14ac:dyDescent="0.2">
      <c r="A101" s="19"/>
    </row>
    <row r="102" spans="1:1" s="10" customFormat="1" x14ac:dyDescent="0.2">
      <c r="A102" s="19"/>
    </row>
    <row r="103" spans="1:1" s="10" customFormat="1" x14ac:dyDescent="0.2">
      <c r="A103" s="19"/>
    </row>
    <row r="104" spans="1:1" s="10" customFormat="1" x14ac:dyDescent="0.2">
      <c r="A104" s="19"/>
    </row>
    <row r="105" spans="1:1" s="10" customFormat="1" x14ac:dyDescent="0.2">
      <c r="A105" s="19"/>
    </row>
    <row r="106" spans="1:1" s="10" customFormat="1" x14ac:dyDescent="0.2">
      <c r="A106" s="19"/>
    </row>
    <row r="107" spans="1:1" s="10" customFormat="1" x14ac:dyDescent="0.2">
      <c r="A107" s="19"/>
    </row>
    <row r="108" spans="1:1" s="10" customFormat="1" x14ac:dyDescent="0.2">
      <c r="A108" s="19"/>
    </row>
    <row r="109" spans="1:1" s="10" customFormat="1" x14ac:dyDescent="0.2">
      <c r="A109" s="19"/>
    </row>
    <row r="110" spans="1:1" s="10" customFormat="1" x14ac:dyDescent="0.2">
      <c r="A110" s="19"/>
    </row>
    <row r="111" spans="1:1" s="10" customFormat="1" x14ac:dyDescent="0.2">
      <c r="A111" s="19"/>
    </row>
    <row r="112" spans="1:1" s="10" customFormat="1" x14ac:dyDescent="0.2">
      <c r="A112" s="19"/>
    </row>
    <row r="113" spans="1:1" s="10" customFormat="1" x14ac:dyDescent="0.2">
      <c r="A113" s="19"/>
    </row>
    <row r="114" spans="1:1" s="10" customFormat="1" x14ac:dyDescent="0.2">
      <c r="A114" s="19"/>
    </row>
    <row r="115" spans="1:1" s="10" customFormat="1" x14ac:dyDescent="0.2">
      <c r="A115" s="19"/>
    </row>
    <row r="116" spans="1:1" s="10" customFormat="1" x14ac:dyDescent="0.2">
      <c r="A116" s="19"/>
    </row>
    <row r="117" spans="1:1" s="10" customFormat="1" x14ac:dyDescent="0.2">
      <c r="A117" s="19"/>
    </row>
    <row r="118" spans="1:1" s="10" customFormat="1" x14ac:dyDescent="0.2">
      <c r="A118" s="19"/>
    </row>
    <row r="119" spans="1:1" s="10" customFormat="1" x14ac:dyDescent="0.2">
      <c r="A119" s="19"/>
    </row>
    <row r="120" spans="1:1" s="10" customFormat="1" x14ac:dyDescent="0.2">
      <c r="A120" s="19"/>
    </row>
    <row r="121" spans="1:1" s="10" customFormat="1" x14ac:dyDescent="0.2">
      <c r="A121" s="19"/>
    </row>
    <row r="122" spans="1:1" s="10" customFormat="1" x14ac:dyDescent="0.2">
      <c r="A122" s="19"/>
    </row>
    <row r="123" spans="1:1" s="10" customFormat="1" x14ac:dyDescent="0.2">
      <c r="A123" s="19"/>
    </row>
    <row r="124" spans="1:1" s="10" customFormat="1" x14ac:dyDescent="0.2">
      <c r="A124" s="19"/>
    </row>
    <row r="125" spans="1:1" s="10" customFormat="1" x14ac:dyDescent="0.2">
      <c r="A125" s="19"/>
    </row>
    <row r="126" spans="1:1" s="10" customFormat="1" x14ac:dyDescent="0.2">
      <c r="A126" s="19"/>
    </row>
    <row r="127" spans="1:1" s="10" customFormat="1" x14ac:dyDescent="0.2">
      <c r="A127" s="19"/>
    </row>
    <row r="128" spans="1:1" s="10" customFormat="1" x14ac:dyDescent="0.2">
      <c r="A128" s="19"/>
    </row>
    <row r="129" spans="1:1" s="10" customFormat="1" x14ac:dyDescent="0.2">
      <c r="A129" s="19"/>
    </row>
    <row r="130" spans="1:1" s="10" customFormat="1" x14ac:dyDescent="0.2">
      <c r="A130" s="19"/>
    </row>
    <row r="131" spans="1:1" s="10" customFormat="1" x14ac:dyDescent="0.2">
      <c r="A131" s="19"/>
    </row>
    <row r="132" spans="1:1" s="10" customFormat="1" x14ac:dyDescent="0.2">
      <c r="A132" s="19"/>
    </row>
    <row r="133" spans="1:1" s="10" customFormat="1" x14ac:dyDescent="0.2">
      <c r="A133" s="19"/>
    </row>
    <row r="134" spans="1:1" s="10" customFormat="1" x14ac:dyDescent="0.2">
      <c r="A134" s="19"/>
    </row>
    <row r="135" spans="1:1" s="10" customFormat="1" x14ac:dyDescent="0.2">
      <c r="A135" s="19"/>
    </row>
    <row r="136" spans="1:1" s="10" customFormat="1" x14ac:dyDescent="0.2">
      <c r="A136" s="19"/>
    </row>
    <row r="137" spans="1:1" s="10" customFormat="1" x14ac:dyDescent="0.2">
      <c r="A137" s="19"/>
    </row>
    <row r="138" spans="1:1" s="10" customFormat="1" x14ac:dyDescent="0.2">
      <c r="A138" s="19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horizontalDpi="0" verticalDpi="0"/>
  <drawing r:id="rId1"/>
  <extLst>
    <ext xmlns:x14="http://schemas.microsoft.com/office/spreadsheetml/2009/9/main" uri="{A8765BA9-456A-4dab-B4F3-ACF838C121DE}">
      <x14:slicerList>
        <x14:slicer r:id="rId2"/>
      </x14:slicerList>
    </ext>
    <ext xmlns:x15="http://schemas.microsoft.com/office/spreadsheetml/2010/11/main" uri="{7E03D99C-DC04-49d9-9315-930204A7B6E9}">
      <x15:timelineRefs>
        <x15:timelineRef r:id="rId3"/>
      </x15:timelineRef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documentManagement/types"/>
    <ds:schemaRef ds:uri="851b35d3-0456-4d6a-bc2f-da927e91d158"/>
    <ds:schemaRef ds:uri="http://schemas.openxmlformats.org/package/2006/metadata/core-properties"/>
    <ds:schemaRef ds:uri="19483571-f922-4e8e-9c1c-26f0a2252132"/>
    <ds:schemaRef ds:uri="http://purl.org/dc/terms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13</vt:i4>
      </vt:variant>
    </vt:vector>
  </HeadingPairs>
  <TitlesOfParts>
    <vt:vector size="18" baseType="lpstr">
      <vt:lpstr>A̳ssets</vt:lpstr>
      <vt:lpstr>B̳ases </vt:lpstr>
      <vt:lpstr>C̳álculos</vt:lpstr>
      <vt:lpstr>D̳ashboard_product</vt:lpstr>
      <vt:lpstr>D̳ashboard</vt:lpstr>
      <vt:lpstr>average_discount</vt:lpstr>
      <vt:lpstr>average_ticket</vt:lpstr>
      <vt:lpstr>average_ticket_core</vt:lpstr>
      <vt:lpstr>average_ticket_standard</vt:lpstr>
      <vt:lpstr>average_ticket_ultimate</vt:lpstr>
      <vt:lpstr>discount_rate</vt:lpstr>
      <vt:lpstr>eagame_rate_sales</vt:lpstr>
      <vt:lpstr>eagame_revenue</vt:lpstr>
      <vt:lpstr>minecraft_rate_sales</vt:lpstr>
      <vt:lpstr>minecraft_revenue</vt:lpstr>
      <vt:lpstr>rate_renewal</vt:lpstr>
      <vt:lpstr>renewal_rate</vt:lpstr>
      <vt:lpstr>total_revenue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Microsoft Office User</cp:lastModifiedBy>
  <dcterms:created xsi:type="dcterms:W3CDTF">2024-12-19T13:13:10Z</dcterms:created>
  <dcterms:modified xsi:type="dcterms:W3CDTF">2026-01-09T00:32:49Z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